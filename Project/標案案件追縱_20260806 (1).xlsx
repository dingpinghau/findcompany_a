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mcloud-my.sharepoint.com/personal/alanding_taiwanmobile_com/Documents/文件/Report/Roundtable/"/>
    </mc:Choice>
  </mc:AlternateContent>
  <xr:revisionPtr revIDLastSave="40" documentId="8_{9A024050-1327-4BF4-8C78-C13FD24FBA35}" xr6:coauthVersionLast="47" xr6:coauthVersionMax="47" xr10:uidLastSave="{5C8300E4-4AB5-4B3C-9026-6D697327F2A3}"/>
  <bookViews>
    <workbookView xWindow="1650" yWindow="4335" windowWidth="45975" windowHeight="16635" xr2:uid="{627B3451-8161-44E5-93FD-E784F45DB032}"/>
  </bookViews>
  <sheets>
    <sheet name="標案案件追蹤 (2)" sheetId="8" r:id="rId1"/>
    <sheet name="標案案件追蹤" sheetId="4" r:id="rId2"/>
    <sheet name="政府標案流程說明" sheetId="6" r:id="rId3"/>
    <sheet name="一般企業流程說明" sheetId="7" r:id="rId4"/>
  </sheets>
  <definedNames>
    <definedName name="_xlnm._FilterDatabase" localSheetId="1" hidden="1">標案案件追蹤!$A$30:$AH$41</definedName>
    <definedName name="_xlnm._FilterDatabase" localSheetId="0" hidden="1">'標案案件追蹤 (2)'!$A$30:$AG$41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5" i="8" l="1"/>
  <c r="AA65" i="8"/>
  <c r="X65" i="8"/>
  <c r="U65" i="8"/>
  <c r="R65" i="8"/>
  <c r="O65" i="8"/>
  <c r="L65" i="8"/>
  <c r="AD64" i="8"/>
  <c r="AA64" i="8"/>
  <c r="X64" i="8"/>
  <c r="U64" i="8"/>
  <c r="R64" i="8"/>
  <c r="O64" i="8"/>
  <c r="L64" i="8"/>
  <c r="AD63" i="8"/>
  <c r="AA63" i="8"/>
  <c r="X63" i="8"/>
  <c r="U63" i="8"/>
  <c r="R63" i="8"/>
  <c r="O63" i="8"/>
  <c r="L63" i="8"/>
  <c r="AD62" i="8"/>
  <c r="AA62" i="8"/>
  <c r="X62" i="8"/>
  <c r="U62" i="8"/>
  <c r="R62" i="8"/>
  <c r="O62" i="8"/>
  <c r="L62" i="8"/>
  <c r="AD61" i="8"/>
  <c r="AA61" i="8"/>
  <c r="X61" i="8"/>
  <c r="U61" i="8"/>
  <c r="R61" i="8"/>
  <c r="O61" i="8"/>
  <c r="L61" i="8"/>
  <c r="AD60" i="8"/>
  <c r="AA60" i="8"/>
  <c r="X60" i="8"/>
  <c r="U60" i="8"/>
  <c r="R60" i="8"/>
  <c r="O60" i="8"/>
  <c r="L60" i="8"/>
  <c r="AD59" i="8"/>
  <c r="AA59" i="8"/>
  <c r="X59" i="8"/>
  <c r="U59" i="8"/>
  <c r="R59" i="8"/>
  <c r="O59" i="8"/>
  <c r="L59" i="8"/>
  <c r="AD58" i="8"/>
  <c r="AA58" i="8"/>
  <c r="X58" i="8"/>
  <c r="U58" i="8"/>
  <c r="R58" i="8"/>
  <c r="O58" i="8"/>
  <c r="L58" i="8"/>
  <c r="AD57" i="8"/>
  <c r="AA57" i="8"/>
  <c r="X57" i="8"/>
  <c r="U57" i="8"/>
  <c r="R57" i="8"/>
  <c r="O57" i="8"/>
  <c r="L57" i="8"/>
  <c r="AD56" i="8"/>
  <c r="AA56" i="8"/>
  <c r="X56" i="8"/>
  <c r="U56" i="8"/>
  <c r="R56" i="8"/>
  <c r="O56" i="8"/>
  <c r="L56" i="8"/>
  <c r="AD55" i="8"/>
  <c r="AA55" i="8"/>
  <c r="X55" i="8"/>
  <c r="U55" i="8"/>
  <c r="R55" i="8"/>
  <c r="O55" i="8"/>
  <c r="L55" i="8"/>
  <c r="AD51" i="8"/>
  <c r="AA51" i="8"/>
  <c r="X51" i="8"/>
  <c r="U51" i="8"/>
  <c r="R51" i="8"/>
  <c r="O51" i="8"/>
  <c r="L51" i="8"/>
  <c r="AD50" i="8"/>
  <c r="AA50" i="8"/>
  <c r="X50" i="8"/>
  <c r="U50" i="8"/>
  <c r="R50" i="8"/>
  <c r="O50" i="8"/>
  <c r="L50" i="8"/>
  <c r="AD49" i="8"/>
  <c r="AA49" i="8"/>
  <c r="X49" i="8"/>
  <c r="U49" i="8"/>
  <c r="R49" i="8"/>
  <c r="O49" i="8"/>
  <c r="L49" i="8"/>
  <c r="AD48" i="8"/>
  <c r="AA48" i="8"/>
  <c r="X48" i="8"/>
  <c r="U48" i="8"/>
  <c r="R48" i="8"/>
  <c r="O48" i="8"/>
  <c r="L48" i="8"/>
  <c r="AD54" i="8"/>
  <c r="AA54" i="8"/>
  <c r="X54" i="8"/>
  <c r="U54" i="8"/>
  <c r="R54" i="8"/>
  <c r="O54" i="8"/>
  <c r="L54" i="8"/>
  <c r="AD53" i="8"/>
  <c r="AA53" i="8"/>
  <c r="X53" i="8"/>
  <c r="U53" i="8"/>
  <c r="R53" i="8"/>
  <c r="O53" i="8"/>
  <c r="L53" i="8"/>
  <c r="AD52" i="8"/>
  <c r="AA52" i="8"/>
  <c r="X52" i="8"/>
  <c r="U52" i="8"/>
  <c r="R52" i="8"/>
  <c r="O52" i="8"/>
  <c r="L52" i="8"/>
  <c r="AD47" i="8"/>
  <c r="AA47" i="8"/>
  <c r="X47" i="8"/>
  <c r="U47" i="8"/>
  <c r="R47" i="8"/>
  <c r="O47" i="8"/>
  <c r="L47" i="8"/>
  <c r="AD46" i="8"/>
  <c r="AA46" i="8"/>
  <c r="X46" i="8"/>
  <c r="U46" i="8"/>
  <c r="R46" i="8"/>
  <c r="O46" i="8"/>
  <c r="L46" i="8"/>
  <c r="AD45" i="8"/>
  <c r="AA45" i="8"/>
  <c r="X45" i="8"/>
  <c r="U45" i="8"/>
  <c r="R45" i="8"/>
  <c r="O45" i="8"/>
  <c r="AD44" i="8"/>
  <c r="AA44" i="8"/>
  <c r="X44" i="8"/>
  <c r="U44" i="8"/>
  <c r="R44" i="8"/>
  <c r="O44" i="8"/>
  <c r="L44" i="8"/>
  <c r="I44" i="8"/>
  <c r="AD43" i="8"/>
  <c r="AA43" i="8"/>
  <c r="X43" i="8"/>
  <c r="U43" i="8"/>
  <c r="R43" i="8"/>
  <c r="O43" i="8"/>
  <c r="L43" i="8"/>
  <c r="AD42" i="8"/>
  <c r="AA42" i="8"/>
  <c r="X42" i="8"/>
  <c r="U42" i="8"/>
  <c r="R42" i="8"/>
  <c r="O42" i="8"/>
  <c r="L42" i="8"/>
  <c r="AD41" i="8"/>
  <c r="AA41" i="8"/>
  <c r="X41" i="8"/>
  <c r="U41" i="8"/>
  <c r="R41" i="8"/>
  <c r="O41" i="8"/>
  <c r="L41" i="8"/>
  <c r="J44" i="4" l="1"/>
  <c r="M43" i="4" l="1"/>
  <c r="P43" i="4"/>
  <c r="S43" i="4"/>
  <c r="V43" i="4"/>
  <c r="Y43" i="4"/>
  <c r="AB43" i="4"/>
  <c r="AE43" i="4"/>
  <c r="M44" i="4"/>
  <c r="P44" i="4"/>
  <c r="S44" i="4"/>
  <c r="V44" i="4"/>
  <c r="Y44" i="4"/>
  <c r="AB44" i="4"/>
  <c r="AE44" i="4"/>
  <c r="M46" i="4"/>
  <c r="P46" i="4"/>
  <c r="S46" i="4"/>
  <c r="V46" i="4"/>
  <c r="Y46" i="4"/>
  <c r="AB46" i="4"/>
  <c r="AE46" i="4"/>
  <c r="M51" i="4"/>
  <c r="P51" i="4"/>
  <c r="S51" i="4"/>
  <c r="V51" i="4"/>
  <c r="Y51" i="4"/>
  <c r="AB51" i="4"/>
  <c r="AE51" i="4"/>
  <c r="P45" i="4"/>
  <c r="S45" i="4"/>
  <c r="V45" i="4"/>
  <c r="Y45" i="4"/>
  <c r="AB45" i="4"/>
  <c r="AE45" i="4"/>
  <c r="M52" i="4"/>
  <c r="P52" i="4"/>
  <c r="S52" i="4"/>
  <c r="V52" i="4"/>
  <c r="Y52" i="4"/>
  <c r="AB52" i="4"/>
  <c r="AE52" i="4"/>
  <c r="M48" i="4"/>
  <c r="P48" i="4"/>
  <c r="S48" i="4"/>
  <c r="V48" i="4"/>
  <c r="Y48" i="4"/>
  <c r="AB48" i="4"/>
  <c r="AE48" i="4"/>
  <c r="M47" i="4"/>
  <c r="P47" i="4"/>
  <c r="S47" i="4"/>
  <c r="V47" i="4"/>
  <c r="Y47" i="4"/>
  <c r="AB47" i="4"/>
  <c r="AE47" i="4"/>
  <c r="M49" i="4"/>
  <c r="P49" i="4"/>
  <c r="S49" i="4"/>
  <c r="V49" i="4"/>
  <c r="Y49" i="4"/>
  <c r="AB49" i="4"/>
  <c r="AE49" i="4"/>
  <c r="M53" i="4"/>
  <c r="P53" i="4"/>
  <c r="S53" i="4"/>
  <c r="V53" i="4"/>
  <c r="Y53" i="4"/>
  <c r="AB53" i="4"/>
  <c r="AE53" i="4"/>
  <c r="M54" i="4"/>
  <c r="P54" i="4"/>
  <c r="S54" i="4"/>
  <c r="V54" i="4"/>
  <c r="Y54" i="4"/>
  <c r="AB54" i="4"/>
  <c r="AE54" i="4"/>
  <c r="M50" i="4"/>
  <c r="P50" i="4"/>
  <c r="S50" i="4"/>
  <c r="V50" i="4"/>
  <c r="Y50" i="4"/>
  <c r="AB50" i="4"/>
  <c r="AE50" i="4"/>
  <c r="M55" i="4"/>
  <c r="P55" i="4"/>
  <c r="S55" i="4"/>
  <c r="V55" i="4"/>
  <c r="Y55" i="4"/>
  <c r="AB55" i="4"/>
  <c r="AE55" i="4"/>
  <c r="M56" i="4"/>
  <c r="P56" i="4"/>
  <c r="S56" i="4"/>
  <c r="V56" i="4"/>
  <c r="Y56" i="4"/>
  <c r="AB56" i="4"/>
  <c r="AE56" i="4"/>
  <c r="M57" i="4"/>
  <c r="P57" i="4"/>
  <c r="S57" i="4"/>
  <c r="V57" i="4"/>
  <c r="Y57" i="4"/>
  <c r="AB57" i="4"/>
  <c r="AE57" i="4"/>
  <c r="M58" i="4"/>
  <c r="P58" i="4"/>
  <c r="S58" i="4"/>
  <c r="V58" i="4"/>
  <c r="Y58" i="4"/>
  <c r="AB58" i="4"/>
  <c r="AE58" i="4"/>
  <c r="M59" i="4"/>
  <c r="P59" i="4"/>
  <c r="S59" i="4"/>
  <c r="V59" i="4"/>
  <c r="Y59" i="4"/>
  <c r="AB59" i="4"/>
  <c r="AE59" i="4"/>
  <c r="M60" i="4"/>
  <c r="P60" i="4"/>
  <c r="S60" i="4"/>
  <c r="V60" i="4"/>
  <c r="Y60" i="4"/>
  <c r="AB60" i="4"/>
  <c r="AE60" i="4"/>
  <c r="M61" i="4"/>
  <c r="P61" i="4"/>
  <c r="S61" i="4"/>
  <c r="V61" i="4"/>
  <c r="Y61" i="4"/>
  <c r="AB61" i="4"/>
  <c r="AE61" i="4"/>
  <c r="M62" i="4"/>
  <c r="P62" i="4"/>
  <c r="S62" i="4"/>
  <c r="V62" i="4"/>
  <c r="Y62" i="4"/>
  <c r="AB62" i="4"/>
  <c r="AE62" i="4"/>
  <c r="M63" i="4"/>
  <c r="P63" i="4"/>
  <c r="S63" i="4"/>
  <c r="V63" i="4"/>
  <c r="Y63" i="4"/>
  <c r="AB63" i="4"/>
  <c r="AE63" i="4"/>
  <c r="M64" i="4"/>
  <c r="P64" i="4"/>
  <c r="S64" i="4"/>
  <c r="V64" i="4"/>
  <c r="Y64" i="4"/>
  <c r="AB64" i="4"/>
  <c r="AE64" i="4"/>
  <c r="M65" i="4"/>
  <c r="P65" i="4"/>
  <c r="S65" i="4"/>
  <c r="V65" i="4"/>
  <c r="Y65" i="4"/>
  <c r="AB65" i="4"/>
  <c r="AE65" i="4"/>
  <c r="AB42" i="4"/>
  <c r="AB41" i="4"/>
  <c r="AE41" i="4"/>
  <c r="AE42" i="4"/>
  <c r="Y42" i="4"/>
  <c r="V42" i="4"/>
  <c r="S42" i="4"/>
  <c r="P42" i="4"/>
  <c r="M42" i="4"/>
  <c r="Y41" i="4"/>
  <c r="V41" i="4"/>
  <c r="S41" i="4"/>
  <c r="P41" i="4"/>
  <c r="M41" i="4"/>
</calcChain>
</file>

<file path=xl/sharedStrings.xml><?xml version="1.0" encoding="utf-8"?>
<sst xmlns="http://schemas.openxmlformats.org/spreadsheetml/2006/main" count="475" uniqueCount="193">
  <si>
    <t>項次</t>
    <phoneticPr fontId="2" type="noConversion"/>
  </si>
  <si>
    <t>案名</t>
    <phoneticPr fontId="2" type="noConversion"/>
  </si>
  <si>
    <t>D</t>
    <phoneticPr fontId="2" type="noConversion"/>
  </si>
  <si>
    <t>D-2</t>
    <phoneticPr fontId="2" type="noConversion"/>
  </si>
  <si>
    <t>投標日</t>
    <phoneticPr fontId="2" type="noConversion"/>
  </si>
  <si>
    <t>D-6</t>
    <phoneticPr fontId="2" type="noConversion"/>
  </si>
  <si>
    <t>建置前端（台灣固網）網路流量紀錄固定網路系統採購案</t>
  </si>
  <si>
    <t>台北捷運_中和、新莊及蘆洲線傳輸終端設備重置採購</t>
  </si>
  <si>
    <t>桃園機場汰換第二航廈擴建區無線網路系統暨伺服器設備案</t>
  </si>
  <si>
    <t>115/3/18</t>
    <phoneticPr fontId="2" type="noConversion"/>
  </si>
  <si>
    <t>115/3/4</t>
  </si>
  <si>
    <t>115/3/5</t>
  </si>
  <si>
    <t>115/3/13</t>
  </si>
  <si>
    <t>115/3/12</t>
  </si>
  <si>
    <t>免</t>
  </si>
  <si>
    <t>115/4/15</t>
  </si>
  <si>
    <t>115/3/9</t>
    <phoneticPr fontId="2" type="noConversion"/>
  </si>
  <si>
    <t>115/3/11</t>
    <phoneticPr fontId="2" type="noConversion"/>
  </si>
  <si>
    <t>115/4/17</t>
    <phoneticPr fontId="2" type="noConversion"/>
  </si>
  <si>
    <t>國網_115-116年雲端服務及大數據運算平台(台灣杉二號第一期)維護案</t>
    <phoneticPr fontId="2" type="noConversion"/>
  </si>
  <si>
    <t>台北捷運_網際網路防火牆設備採購</t>
    <phoneticPr fontId="2" type="noConversion"/>
  </si>
  <si>
    <t>桃園市大園區公所華興池公園智慧公廁系統建置</t>
    <phoneticPr fontId="2" type="noConversion"/>
  </si>
  <si>
    <t>基隆港務分公司_115年網路交換器採購案</t>
    <phoneticPr fontId="2" type="noConversion"/>
  </si>
  <si>
    <t> 115/4/13</t>
    <phoneticPr fontId="2" type="noConversion"/>
  </si>
  <si>
    <t>115年度消防機關室內救災人員軌跡定位系統建置聯合採購案</t>
    <phoneticPr fontId="2" type="noConversion"/>
  </si>
  <si>
    <t>預算金額 (含稅)</t>
    <phoneticPr fontId="2" type="noConversion"/>
  </si>
  <si>
    <t> 115/4/16</t>
    <phoneticPr fontId="2" type="noConversion"/>
  </si>
  <si>
    <t>115/3/10</t>
    <phoneticPr fontId="2" type="noConversion"/>
  </si>
  <si>
    <t>N/A</t>
    <phoneticPr fontId="2" type="noConversion"/>
  </si>
  <si>
    <t>115/3/17</t>
    <phoneticPr fontId="2" type="noConversion"/>
  </si>
  <si>
    <t>台北捷運_電子多媒體及車站宣導顯示系統汰換採購</t>
    <phoneticPr fontId="2" type="noConversion"/>
  </si>
  <si>
    <t>115/3/16</t>
    <phoneticPr fontId="2" type="noConversion"/>
  </si>
  <si>
    <t>115/3/27</t>
    <phoneticPr fontId="2" type="noConversion"/>
  </si>
  <si>
    <t>115/5/7</t>
    <phoneticPr fontId="2" type="noConversion"/>
  </si>
  <si>
    <t>115/04/20</t>
    <phoneticPr fontId="2" type="noConversion"/>
  </si>
  <si>
    <t>115/4/29</t>
    <phoneticPr fontId="2" type="noConversion"/>
  </si>
  <si>
    <t>115/3/31</t>
    <phoneticPr fontId="2" type="noConversion"/>
  </si>
  <si>
    <t>風評會議實際日</t>
    <phoneticPr fontId="2" type="noConversion"/>
  </si>
  <si>
    <t>投標(截)時間</t>
  </si>
  <si>
    <t>風評時間</t>
  </si>
  <si>
    <t>得標業務簽呈送出日</t>
  </si>
  <si>
    <t>KPI</t>
    <phoneticPr fontId="2" type="noConversion"/>
  </si>
  <si>
    <t>預算金額(含稅)</t>
  </si>
  <si>
    <t>Front-log</t>
    <phoneticPr fontId="2" type="noConversion"/>
  </si>
  <si>
    <t>6311591-20260225-01</t>
  </si>
  <si>
    <t>6311591-20260120-01</t>
  </si>
  <si>
    <t>桃園建管處-智慧建管圖台互動建築節能設計決策支援平台</t>
    <phoneticPr fontId="2" type="noConversion"/>
  </si>
  <si>
    <t>桃園大園區公所-華興池公園智慧公廁系統建置</t>
    <phoneticPr fontId="2" type="noConversion"/>
  </si>
  <si>
    <t>D-14</t>
    <phoneticPr fontId="2" type="noConversion"/>
  </si>
  <si>
    <t>D-11</t>
    <phoneticPr fontId="2" type="noConversion"/>
  </si>
  <si>
    <t>D-9</t>
    <phoneticPr fontId="2" type="noConversion"/>
  </si>
  <si>
    <t>D-8</t>
    <phoneticPr fontId="2" type="noConversion"/>
  </si>
  <si>
    <t>D-7</t>
    <phoneticPr fontId="2" type="noConversion"/>
  </si>
  <si>
    <t>預計投標金額(含稅)</t>
  </si>
  <si>
    <t>預計成本(含稅)</t>
  </si>
  <si>
    <t>試算P&amp;L</t>
  </si>
  <si>
    <t>建案會議
表定日</t>
    <phoneticPr fontId="2" type="noConversion"/>
  </si>
  <si>
    <t>建案會議
實際日</t>
    <phoneticPr fontId="2" type="noConversion"/>
  </si>
  <si>
    <t>解決方案確認
表定日</t>
    <phoneticPr fontId="2" type="noConversion"/>
  </si>
  <si>
    <t>解決方案確認
實際日</t>
    <phoneticPr fontId="2" type="noConversion"/>
  </si>
  <si>
    <t>風評會議
表定日</t>
    <phoneticPr fontId="2" type="noConversion"/>
  </si>
  <si>
    <t>允投會議
表定日</t>
    <phoneticPr fontId="2" type="noConversion"/>
  </si>
  <si>
    <t>允投會議
實際日</t>
    <phoneticPr fontId="2" type="noConversion"/>
  </si>
  <si>
    <t>領標
表定日</t>
    <phoneticPr fontId="2" type="noConversion"/>
  </si>
  <si>
    <t>領標
實際日</t>
    <phoneticPr fontId="2" type="noConversion"/>
  </si>
  <si>
    <t>業務人員</t>
    <phoneticPr fontId="2" type="noConversion"/>
  </si>
  <si>
    <t>業務處</t>
    <phoneticPr fontId="2" type="noConversion"/>
  </si>
  <si>
    <t>業務正式上簽
實際日</t>
    <phoneticPr fontId="2" type="noConversion"/>
  </si>
  <si>
    <t>業務正式上簽
表定日</t>
    <phoneticPr fontId="2" type="noConversion"/>
  </si>
  <si>
    <t>免風評</t>
    <phoneticPr fontId="2" type="noConversion"/>
  </si>
  <si>
    <t>逾期原因</t>
    <phoneticPr fontId="2" type="noConversion"/>
  </si>
  <si>
    <t>範例1</t>
    <phoneticPr fontId="2" type="noConversion"/>
  </si>
  <si>
    <t>範例2</t>
  </si>
  <si>
    <t>專案資訊</t>
    <phoneticPr fontId="2" type="noConversion"/>
  </si>
  <si>
    <t>作業步驟/Dday回推</t>
    <phoneticPr fontId="2" type="noConversion"/>
  </si>
  <si>
    <t>No Go
原因</t>
    <phoneticPr fontId="2" type="noConversion"/>
  </si>
  <si>
    <t>建議文案</t>
    <phoneticPr fontId="2" type="noConversion"/>
  </si>
  <si>
    <t>重要時點</t>
    <phoneticPr fontId="2" type="noConversion"/>
  </si>
  <si>
    <t>效益試算
表定日</t>
    <phoneticPr fontId="2" type="noConversion"/>
  </si>
  <si>
    <t>效益試算
實際日</t>
    <phoneticPr fontId="2" type="noConversion"/>
  </si>
  <si>
    <t>解決方案確認</t>
    <phoneticPr fontId="2" type="noConversion"/>
  </si>
  <si>
    <t>效益試算</t>
  </si>
  <si>
    <t>風評會議</t>
  </si>
  <si>
    <t>正式上簽</t>
  </si>
  <si>
    <t>允投會議</t>
  </si>
  <si>
    <t>D-10</t>
    <phoneticPr fontId="2" type="noConversion"/>
  </si>
  <si>
    <t>D-3</t>
    <phoneticPr fontId="2" type="noConversion"/>
  </si>
  <si>
    <t>發送時間
(下表日10:00)</t>
    <phoneticPr fontId="2" type="noConversion"/>
  </si>
  <si>
    <r>
      <t>政府標案</t>
    </r>
    <r>
      <rPr>
        <b/>
        <sz val="28"/>
        <color rgb="FFFF0000"/>
        <rFont val="微軟正黑體"/>
        <family val="2"/>
        <charset val="136"/>
      </rPr>
      <t>標準</t>
    </r>
    <r>
      <rPr>
        <b/>
        <sz val="28"/>
        <color rgb="FF000000"/>
        <rFont val="微軟正黑體"/>
        <family val="2"/>
        <charset val="136"/>
      </rPr>
      <t>作業流程</t>
    </r>
    <phoneticPr fontId="2" type="noConversion"/>
  </si>
  <si>
    <t>作業項目</t>
    <phoneticPr fontId="2" type="noConversion"/>
  </si>
  <si>
    <t>標案前期作業</t>
    <phoneticPr fontId="2" type="noConversion"/>
  </si>
  <si>
    <t>領標/取得文件</t>
    <phoneticPr fontId="2" type="noConversion"/>
  </si>
  <si>
    <t>建案會議</t>
    <phoneticPr fontId="2" type="noConversion"/>
  </si>
  <si>
    <t>效益試算</t>
    <phoneticPr fontId="2" type="noConversion"/>
  </si>
  <si>
    <t>召開風評會議</t>
    <phoneticPr fontId="2" type="noConversion"/>
  </si>
  <si>
    <t>業務正式上簽</t>
    <phoneticPr fontId="2" type="noConversion"/>
  </si>
  <si>
    <t>召開允投會議</t>
    <phoneticPr fontId="2" type="noConversion"/>
  </si>
  <si>
    <t>投標</t>
    <phoneticPr fontId="2" type="noConversion"/>
  </si>
  <si>
    <t>作業說明</t>
    <phoneticPr fontId="2" type="noConversion"/>
  </si>
  <si>
    <t>1.業務領標後當日文件提出給建案小組成員
2.登打frontlog系統(request Presales)
3.建案會議booking
4.PreS解決方案與報價收集</t>
    <phoneticPr fontId="2" type="noConversion"/>
  </si>
  <si>
    <r>
      <t xml:space="preserve">
1. 業務： 負責準備建案會議 BRIEF 資料，並提供預估可投標金額予 SI PM。
2. Presales： 負責規劃初版解決方案，並收集初版報價提供予 SI PM。
3. SI PM： 整合各方資料，進行初版效益試算（P&amp;L）；</t>
    </r>
    <r>
      <rPr>
        <b/>
        <sz val="12"/>
        <color rgb="FFFF0000"/>
        <rFont val="微軟正黑體"/>
        <family val="2"/>
        <charset val="136"/>
      </rPr>
      <t>若報價未齊，SI PM以投標金額之GP %反推成本</t>
    </r>
    <r>
      <rPr>
        <b/>
        <sz val="12"/>
        <color theme="1"/>
        <rFont val="微軟正黑體"/>
        <family val="2"/>
        <charset val="136"/>
      </rPr>
      <t xml:space="preserve">
</t>
    </r>
    <r>
      <rPr>
        <b/>
        <sz val="12"/>
        <color rgb="FFFF0000"/>
        <rFont val="微軟正黑體"/>
        <family val="2"/>
        <charset val="136"/>
      </rPr>
      <t>4.會議決定Go or No Go (PreS)</t>
    </r>
    <r>
      <rPr>
        <b/>
        <sz val="12"/>
        <color theme="1"/>
        <rFont val="微軟正黑體"/>
        <family val="2"/>
        <charset val="136"/>
      </rPr>
      <t xml:space="preserve">
5.若專案投標日高於14天，會議上議定3-6步驟時間點
</t>
    </r>
    <phoneticPr fontId="2" type="noConversion"/>
  </si>
  <si>
    <r>
      <t>1.標案需求</t>
    </r>
    <r>
      <rPr>
        <b/>
        <sz val="12"/>
        <color rgb="FFFF0000"/>
        <rFont val="微軟正黑體"/>
        <family val="2"/>
        <charset val="136"/>
      </rPr>
      <t>詳細</t>
    </r>
    <r>
      <rPr>
        <b/>
        <sz val="12"/>
        <color theme="1"/>
        <rFont val="微軟正黑體"/>
        <family val="2"/>
        <charset val="136"/>
      </rPr>
      <t>解析
2.供應商</t>
    </r>
    <r>
      <rPr>
        <b/>
        <sz val="12"/>
        <color rgb="FFFF0000"/>
        <rFont val="微軟正黑體"/>
        <family val="2"/>
        <charset val="136"/>
      </rPr>
      <t>確認</t>
    </r>
    <r>
      <rPr>
        <b/>
        <sz val="12"/>
        <color theme="1"/>
        <rFont val="微軟正黑體"/>
        <family val="2"/>
        <charset val="136"/>
      </rPr>
      <t>詢價
3.風審簡報/建議書準備</t>
    </r>
    <phoneticPr fontId="2" type="noConversion"/>
  </si>
  <si>
    <r>
      <t>1.風險審查書：會議前請各部先研讀風審資料
2</t>
    </r>
    <r>
      <rPr>
        <b/>
        <sz val="12"/>
        <color rgb="FFFF0000"/>
        <rFont val="微軟正黑體"/>
        <family val="2"/>
        <charset val="136"/>
      </rPr>
      <t>.隔日回收風險評核表</t>
    </r>
    <phoneticPr fontId="2" type="noConversion"/>
  </si>
  <si>
    <t>所需天數</t>
    <phoneticPr fontId="2" type="noConversion"/>
  </si>
  <si>
    <t>Dday回推</t>
    <phoneticPr fontId="2" type="noConversion"/>
  </si>
  <si>
    <t xml:space="preserve">D </t>
    <phoneticPr fontId="2" type="noConversion"/>
  </si>
  <si>
    <t>Sales</t>
    <phoneticPr fontId="2" type="noConversion"/>
  </si>
  <si>
    <t>PreSales</t>
    <phoneticPr fontId="2" type="noConversion"/>
  </si>
  <si>
    <t>主責單位</t>
    <phoneticPr fontId="2" type="noConversion"/>
  </si>
  <si>
    <t>協辦單位</t>
    <phoneticPr fontId="2" type="noConversion"/>
  </si>
  <si>
    <t>Sales</t>
  </si>
  <si>
    <t>PreSales</t>
  </si>
  <si>
    <t>SI PM</t>
    <phoneticPr fontId="2" type="noConversion"/>
  </si>
  <si>
    <t>經規/Presales/業務</t>
    <phoneticPr fontId="2" type="noConversion"/>
  </si>
  <si>
    <t>All</t>
    <phoneticPr fontId="2" type="noConversion"/>
  </si>
  <si>
    <t>Sales
PreSales
SI PM
PM (若非SI案)
專管</t>
    <phoneticPr fontId="2" type="noConversion"/>
  </si>
  <si>
    <t xml:space="preserve"> 建案小組成員</t>
  </si>
  <si>
    <r>
      <t>•</t>
    </r>
    <r>
      <rPr>
        <b/>
        <sz val="12"/>
        <color rgb="FF000000"/>
        <rFont val="微軟正黑體"/>
        <family val="2"/>
        <charset val="136"/>
      </rPr>
      <t>業務： 案件負責業務、所屬部級主管，及業務三處三部之部級主管</t>
    </r>
    <r>
      <rPr>
        <b/>
        <sz val="12"/>
        <color rgb="FF000000"/>
        <rFont val="Century Gothic"/>
        <family val="2"/>
      </rPr>
      <t>(News)</t>
    </r>
  </si>
  <si>
    <r>
      <t>•</t>
    </r>
    <r>
      <rPr>
        <b/>
        <sz val="12"/>
        <color rgb="FF000000"/>
        <rFont val="Century Gothic"/>
        <family val="2"/>
      </rPr>
      <t>Presales</t>
    </r>
    <r>
      <rPr>
        <b/>
        <sz val="12"/>
        <color rgb="FF000000"/>
        <rFont val="微軟正黑體"/>
        <family val="2"/>
        <charset val="136"/>
      </rPr>
      <t>： 案件負責</t>
    </r>
    <r>
      <rPr>
        <b/>
        <sz val="12"/>
        <color rgb="FF000000"/>
        <rFont val="Century Gothic"/>
        <family val="2"/>
      </rPr>
      <t xml:space="preserve"> Presales</t>
    </r>
    <r>
      <rPr>
        <b/>
        <sz val="12"/>
        <color rgb="FF000000"/>
        <rFont val="微軟正黑體"/>
        <family val="2"/>
        <charset val="136"/>
      </rPr>
      <t>、所屬部級主管與處級主管</t>
    </r>
    <r>
      <rPr>
        <b/>
        <sz val="12"/>
        <color rgb="FF000000"/>
        <rFont val="Century Gothic"/>
        <family val="2"/>
      </rPr>
      <t>(David)</t>
    </r>
  </si>
  <si>
    <t>建案評估會議召開</t>
  </si>
  <si>
    <r>
      <t>•</t>
    </r>
    <r>
      <rPr>
        <b/>
        <sz val="12"/>
        <color rgb="FF000000"/>
        <rFont val="微軟正黑體"/>
        <family val="2"/>
        <charset val="136"/>
      </rPr>
      <t>召集人： 由案件負責業務負責召開</t>
    </r>
  </si>
  <si>
    <r>
      <t>•</t>
    </r>
    <r>
      <rPr>
        <b/>
        <sz val="12"/>
        <color rgb="FF000000"/>
        <rFont val="微軟正黑體"/>
        <family val="2"/>
        <charset val="136"/>
      </rPr>
      <t>與會人員： 建案小組全體成員均須出席</t>
    </r>
  </si>
  <si>
    <r>
      <t>•</t>
    </r>
    <r>
      <rPr>
        <b/>
        <sz val="12"/>
        <color rgb="FF000000"/>
        <rFont val="微軟正黑體"/>
        <family val="2"/>
        <charset val="136"/>
      </rPr>
      <t xml:space="preserve">會議目的： </t>
    </r>
    <r>
      <rPr>
        <b/>
        <sz val="12"/>
        <color rgb="FFFF0000"/>
        <rFont val="微軟正黑體"/>
        <family val="2"/>
        <charset val="136"/>
      </rPr>
      <t>依據標案等級</t>
    </r>
    <r>
      <rPr>
        <b/>
        <sz val="12"/>
        <color rgb="FFFF0000"/>
        <rFont val="Century Gothic"/>
        <family val="2"/>
      </rPr>
      <t>(P1~P3)</t>
    </r>
    <r>
      <rPr>
        <b/>
        <sz val="12"/>
        <color rgb="FFFF0000"/>
        <rFont val="微軟正黑體"/>
        <family val="2"/>
        <charset val="136"/>
      </rPr>
      <t>、投標時程、資訊情報、風險評估及專案效益等關鍵指標</t>
    </r>
    <r>
      <rPr>
        <b/>
        <sz val="12"/>
        <color rgb="FF000000"/>
        <rFont val="微軟正黑體"/>
        <family val="2"/>
        <charset val="136"/>
      </rPr>
      <t>，共同評估並決議是否正式成案投標</t>
    </r>
  </si>
  <si>
    <r>
      <t>若專案投標日高於14天，業務同仁應協調</t>
    </r>
    <r>
      <rPr>
        <b/>
        <sz val="12"/>
        <color rgb="FF000000"/>
        <rFont val="Century Gothic"/>
        <family val="2"/>
      </rPr>
      <t>presales之準備時間後，可</t>
    </r>
    <r>
      <rPr>
        <b/>
        <sz val="12"/>
        <color rgb="FF000000"/>
        <rFont val="微軟正黑體"/>
        <family val="2"/>
        <charset val="136"/>
      </rPr>
      <t>提前召開建案會議(不用延到 D-11才召開)</t>
    </r>
  </si>
  <si>
    <t>1.銷售模式確認
2.SI效益試算確認
3.SI PM回覆相關效益給經規/Presales/業務</t>
    <phoneticPr fontId="2" type="noConversion"/>
  </si>
  <si>
    <t>一般企業標案 (請購金額大於500萬的專案) 作業流程</t>
    <phoneticPr fontId="2" type="noConversion"/>
  </si>
  <si>
    <r>
      <t>•</t>
    </r>
    <r>
      <rPr>
        <b/>
        <sz val="11"/>
        <color rgb="FF000000"/>
        <rFont val="微軟正黑體"/>
        <family val="2"/>
        <charset val="136"/>
      </rPr>
      <t>專管</t>
    </r>
    <r>
      <rPr>
        <b/>
        <sz val="11"/>
        <color theme="1"/>
        <rFont val="微軟正黑體"/>
        <family val="2"/>
        <charset val="136"/>
      </rPr>
      <t>：企業交付暨支援處Gary處長/Tomson部級主管</t>
    </r>
    <phoneticPr fontId="2" type="noConversion"/>
  </si>
  <si>
    <t>•專管：企業交付暨支援處Gary處長/Tomson部級主管</t>
    <phoneticPr fontId="2" type="noConversion"/>
  </si>
  <si>
    <t>作業節點</t>
    <phoneticPr fontId="2" type="noConversion"/>
  </si>
  <si>
    <r>
      <t>•</t>
    </r>
    <r>
      <rPr>
        <b/>
        <sz val="12"/>
        <color rgb="FF000000"/>
        <rFont val="Century Gothic"/>
        <family val="2"/>
      </rPr>
      <t>SI PM</t>
    </r>
    <r>
      <rPr>
        <b/>
        <sz val="12"/>
        <color rgb="FF000000"/>
        <rFont val="微軟正黑體"/>
        <family val="2"/>
        <charset val="136"/>
      </rPr>
      <t>： 業務處別負責窗口及部級主管</t>
    </r>
    <r>
      <rPr>
        <b/>
        <sz val="12"/>
        <color rgb="FF000000"/>
        <rFont val="Century Gothic"/>
        <family val="2"/>
      </rPr>
      <t>(Elvis)</t>
    </r>
    <phoneticPr fontId="2" type="noConversion"/>
  </si>
  <si>
    <r>
      <t>•</t>
    </r>
    <r>
      <rPr>
        <b/>
        <sz val="12"/>
        <color rgb="FF000000"/>
        <rFont val="Century Gothic"/>
        <family val="2"/>
      </rPr>
      <t>SI PM</t>
    </r>
    <r>
      <rPr>
        <b/>
        <sz val="12"/>
        <color rgb="FF000000"/>
        <rFont val="微軟正黑體"/>
        <family val="2"/>
        <charset val="136"/>
      </rPr>
      <t>： 業務處別負責窗口及部級主管(Elvis)</t>
    </r>
    <phoneticPr fontId="2" type="noConversion"/>
  </si>
  <si>
    <t>海巡署：勤務指揮中心設備升級及空間優化</t>
    <phoneticPr fontId="2" type="noConversion"/>
  </si>
  <si>
    <t>政府</t>
    <phoneticPr fontId="2" type="noConversion"/>
  </si>
  <si>
    <t>Masa Lin ( 林冠廷 )</t>
  </si>
  <si>
    <t>Masa Lin ( 林冠廷 )</t>
    <phoneticPr fontId="2" type="noConversion"/>
  </si>
  <si>
    <t>基富通證券_雲端客服系統暨文字客服建置案</t>
    <phoneticPr fontId="2" type="noConversion"/>
  </si>
  <si>
    <t>TiffanyHT Wu ( 吳曉婷 )</t>
    <phoneticPr fontId="2" type="noConversion"/>
  </si>
  <si>
    <t>業三</t>
    <phoneticPr fontId="2" type="noConversion"/>
  </si>
  <si>
    <t>海洋委員會海巡署_岸際監控系統籌建計畫</t>
    <phoneticPr fontId="2" type="noConversion"/>
  </si>
  <si>
    <t>規範拼裝、風險過高</t>
    <phoneticPr fontId="2" type="noConversion"/>
  </si>
  <si>
    <r>
      <t xml:space="preserve">各位專案同仁／主管 您好：
提醒您，根據專案進度時程規劃：明日18:00 前需完成專案之 </t>
    </r>
    <r>
      <rPr>
        <b/>
        <sz val="12"/>
        <color rgb="FFFF0000"/>
        <rFont val="微軟正黑體"/>
        <family val="2"/>
        <charset val="136"/>
      </rPr>
      <t xml:space="preserve">[ 解決方案確認 ] </t>
    </r>
    <r>
      <rPr>
        <b/>
        <sz val="12"/>
        <color theme="1"/>
        <rFont val="微軟正黑體"/>
        <family val="2"/>
        <charset val="136"/>
      </rPr>
      <t>。為確保專案順利推，請相關負責同仁務必於明日（表定日）完成對應作業。</t>
    </r>
    <phoneticPr fontId="2" type="noConversion"/>
  </si>
  <si>
    <r>
      <t xml:space="preserve">各位專案同仁／主管 您好：
提醒您，根據專案進度時程規劃：明日18:00 前需完成專案之 </t>
    </r>
    <r>
      <rPr>
        <b/>
        <sz val="12"/>
        <color rgb="FFFF0000"/>
        <rFont val="微軟正黑體"/>
        <family val="2"/>
        <charset val="136"/>
      </rPr>
      <t xml:space="preserve">[ 效益試算 ] </t>
    </r>
    <r>
      <rPr>
        <b/>
        <sz val="12"/>
        <rFont val="微軟正黑體"/>
        <family val="2"/>
        <charset val="136"/>
      </rPr>
      <t>。</t>
    </r>
    <r>
      <rPr>
        <b/>
        <sz val="12"/>
        <color theme="1"/>
        <rFont val="微軟正黑體"/>
        <family val="2"/>
        <charset val="136"/>
      </rPr>
      <t>為確保專案順利推進，請相關負責同仁務必於明日（表定日）完成對應作業。</t>
    </r>
    <phoneticPr fontId="2" type="noConversion"/>
  </si>
  <si>
    <r>
      <t xml:space="preserve">各位專案同仁／主管 您好：
提醒您，根據專案進度時程規劃：明日18:00 前需完成專案之 </t>
    </r>
    <r>
      <rPr>
        <b/>
        <sz val="12"/>
        <color rgb="FFFF0000"/>
        <rFont val="微軟正黑體"/>
        <family val="2"/>
        <charset val="136"/>
      </rPr>
      <t xml:space="preserve">[ 風評會議 ] </t>
    </r>
    <r>
      <rPr>
        <b/>
        <sz val="12"/>
        <color theme="1"/>
        <rFont val="微軟正黑體"/>
        <family val="2"/>
        <charset val="136"/>
      </rPr>
      <t>。為確保專案順利推進，請相關負責同仁務必於明日（表定日）完成對應作業。</t>
    </r>
    <phoneticPr fontId="2" type="noConversion"/>
  </si>
  <si>
    <r>
      <t xml:space="preserve">各位專案同仁／主管 您好：
提醒您，根據專案進度時程規劃：明日18:00 前需完成專案之 </t>
    </r>
    <r>
      <rPr>
        <b/>
        <sz val="12"/>
        <color rgb="FFFF0000"/>
        <rFont val="微軟正黑體"/>
        <family val="2"/>
        <charset val="136"/>
      </rPr>
      <t xml:space="preserve">[ 正式上簽 ] </t>
    </r>
    <r>
      <rPr>
        <b/>
        <sz val="12"/>
        <color theme="1"/>
        <rFont val="微軟正黑體"/>
        <family val="2"/>
        <charset val="136"/>
      </rPr>
      <t>。為確保專案順利推進，請相關負責同仁務必於明日（表定日）完成對應作業。</t>
    </r>
    <phoneticPr fontId="2" type="noConversion"/>
  </si>
  <si>
    <r>
      <t xml:space="preserve">各位專案同仁／主管 您好：
提醒您，根據專案進度時程規劃：明日18:00 前需完成專案之 </t>
    </r>
    <r>
      <rPr>
        <b/>
        <sz val="12"/>
        <color rgb="FFFF0000"/>
        <rFont val="微軟正黑體"/>
        <family val="2"/>
        <charset val="136"/>
      </rPr>
      <t xml:space="preserve">[ 允投會議 ] </t>
    </r>
    <r>
      <rPr>
        <b/>
        <sz val="12"/>
        <color theme="1"/>
        <rFont val="微軟正黑體"/>
        <family val="2"/>
        <charset val="136"/>
      </rPr>
      <t>。為確保專案順利推進，請相關負責同仁務必於明日（表定日）完成對應作業。</t>
    </r>
    <phoneticPr fontId="2" type="noConversion"/>
  </si>
  <si>
    <t>Cathy Liao ( 廖翊伶 )</t>
  </si>
  <si>
    <t>7/15建議書、7/22 議價</t>
    <phoneticPr fontId="2" type="noConversion"/>
  </si>
  <si>
    <t>1.時間來不及作業，無法支援後續文件及簽核流程 (包括投標前須簽核至大董核決)
2.建議書內容未完整，僅有廠商套裝軟體功能，客製化功能無法說明
3.客製化軟體程度高，Presales全案未參與，無法掌握客戶實際需求
4.主要配合廠商城邦未配合過，未召開會議討論本案架構及客製化細節，無法需求對接</t>
    <phoneticPr fontId="2" type="noConversion"/>
  </si>
  <si>
    <t>國防部-寬頻無線電機</t>
    <phoneticPr fontId="2" type="noConversion"/>
  </si>
  <si>
    <t>個案緊急試算</t>
    <phoneticPr fontId="2" type="noConversion"/>
  </si>
  <si>
    <t>Michelle Ke ( 柯家蓁 )</t>
    <phoneticPr fontId="2" type="noConversion"/>
  </si>
  <si>
    <t>TCC.ARC圓御國際商旅-黃金級智慧建築設計委託</t>
    <phoneticPr fontId="2" type="noConversion"/>
  </si>
  <si>
    <t>聯醫 AI算力中心建置</t>
    <phoneticPr fontId="2" type="noConversion"/>
  </si>
  <si>
    <t>業二</t>
    <phoneticPr fontId="2" type="noConversion"/>
  </si>
  <si>
    <t>Zoe Wang ( 王昱婷 )</t>
    <phoneticPr fontId="2" type="noConversion"/>
  </si>
  <si>
    <t>狀態</t>
    <phoneticPr fontId="2" type="noConversion"/>
  </si>
  <si>
    <t>NO-GO</t>
    <phoneticPr fontId="2" type="noConversion"/>
  </si>
  <si>
    <t>國網中心_115年人工智慧高速計算大型通用主機建置採購</t>
    <phoneticPr fontId="2" type="noConversion"/>
  </si>
  <si>
    <t>on-going</t>
    <phoneticPr fontId="2" type="noConversion"/>
  </si>
  <si>
    <t>中央研究院南部院區115年儲能系統建置委託服務案</t>
    <phoneticPr fontId="2" type="noConversion"/>
  </si>
  <si>
    <t>中南區</t>
    <phoneticPr fontId="2" type="noConversion"/>
  </si>
  <si>
    <t xml:space="preserve">Shrek Lee ( 李維恆 ) </t>
    <phoneticPr fontId="2" type="noConversion"/>
  </si>
  <si>
    <t>海洋委員會海巡署艦隊分署_低軌衛星寬頻系統設備及服務量能強化採購</t>
    <phoneticPr fontId="2" type="noConversion"/>
  </si>
  <si>
    <t>Waiting Wu ( 吳尉廷 )</t>
  </si>
  <si>
    <t>列車暨車站Wi-Fi無線網路資訊服務與設備安裝汰換案</t>
    <phoneticPr fontId="2" type="noConversion"/>
  </si>
  <si>
    <t>Joann Wu ( 吳于君 )</t>
  </si>
  <si>
    <t>海巡署_116-120年度港區及聯外道路車牌辨識</t>
    <phoneticPr fontId="2" type="noConversion"/>
  </si>
  <si>
    <t>NO-GO</t>
  </si>
  <si>
    <t>待公告</t>
    <phoneticPr fontId="2" type="noConversion"/>
  </si>
  <si>
    <t>公開徵求</t>
    <phoneticPr fontId="2" type="noConversion"/>
  </si>
  <si>
    <t>竹銘醫院綠能機房一期工程</t>
    <phoneticPr fontId="2" type="noConversion"/>
  </si>
  <si>
    <t>Sofia Chang ( 張芳慈 )</t>
    <phoneticPr fontId="2" type="noConversion"/>
  </si>
  <si>
    <t>JackL Lo ( 羅學治 )</t>
  </si>
  <si>
    <t>規格無法符合，履約風險高
8/4再次廢標</t>
    <phoneticPr fontId="2" type="noConversion"/>
  </si>
  <si>
    <t>對口改崇偉營造統由負責弱電包，競爭者遠傳、中亞營造，8月中旬後進行議價</t>
    <phoneticPr fontId="2" type="noConversion"/>
  </si>
  <si>
    <t>8/6重新公告，進行技術性流標報院變更內容</t>
    <phoneticPr fontId="2" type="noConversion"/>
  </si>
  <si>
    <t>進度說明</t>
    <phoneticPr fontId="2" type="noConversion"/>
  </si>
  <si>
    <t>6/15 已召開風評會議，條件放寬重新公告</t>
    <phoneticPr fontId="2" type="noConversion"/>
  </si>
  <si>
    <t>8/6更新報價單</t>
    <phoneticPr fontId="2" type="noConversion"/>
  </si>
  <si>
    <t>8/10採購議價
(2家進議價權)</t>
  </si>
  <si>
    <t>待廢標重新公告，備標持續中</t>
    <phoneticPr fontId="2" type="noConversion"/>
  </si>
  <si>
    <t>7/7已開建案會議，待上標公告</t>
    <phoneticPr fontId="2" type="noConversion"/>
  </si>
  <si>
    <t>廠商報價單更新</t>
    <phoneticPr fontId="2" type="noConversion"/>
  </si>
  <si>
    <t>不熟流程</t>
    <phoneticPr fontId="2" type="noConversion"/>
  </si>
  <si>
    <t>尚未送簽</t>
    <phoneticPr fontId="2" type="noConversion"/>
  </si>
  <si>
    <t>客戶內容尚未確認</t>
    <phoneticPr fontId="2" type="noConversion"/>
  </si>
  <si>
    <t>商機由presales轉件</t>
    <phoneticPr fontId="2" type="noConversion"/>
  </si>
  <si>
    <t>X</t>
    <phoneticPr fontId="2" type="noConversion"/>
  </si>
  <si>
    <t>7/15召開建案會議，待公告</t>
    <phoneticPr fontId="2" type="noConversion"/>
  </si>
  <si>
    <t>佳捷智能供應商提案，8/4 完成廠商建置系統參訪，下週將與廠商進一步討論合作細節</t>
    <phoneticPr fontId="2" type="noConversion"/>
  </si>
  <si>
    <t>待廢標重新公告</t>
    <phoneticPr fontId="2" type="noConversion"/>
  </si>
  <si>
    <t>由presales轉件</t>
    <phoneticPr fontId="2" type="noConversion"/>
  </si>
  <si>
    <t>7/15召開建案會議，預計9月公告(聽說約3500萬)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</si>
</sst>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e/mm/dd"/>
    <numFmt numFmtId="178" formatCode="m/d;@"/>
  </numFmts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28"/>
      <color rgb="FF000000"/>
      <name val="微軟正黑體"/>
      <family val="2"/>
      <charset val="136"/>
    </font>
    <font>
      <b/>
      <sz val="28"/>
      <color rgb="FFFF0000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rgb="FFE97132"/>
      <name val="Century Gothic"/>
      <family val="2"/>
    </font>
    <font>
      <sz val="10"/>
      <color theme="1"/>
      <name val="Arial"/>
      <family val="2"/>
    </font>
    <font>
      <b/>
      <sz val="12"/>
      <color rgb="FF000000"/>
      <name val="微軟正黑體"/>
      <family val="2"/>
      <charset val="136"/>
    </font>
    <font>
      <b/>
      <sz val="12"/>
      <color rgb="FF000000"/>
      <name val="Century Gothic"/>
      <family val="2"/>
    </font>
    <font>
      <b/>
      <sz val="12"/>
      <color rgb="FFE97132"/>
      <name val="微軟正黑體"/>
      <family val="2"/>
      <charset val="136"/>
    </font>
    <font>
      <b/>
      <sz val="12"/>
      <color rgb="FFFF0000"/>
      <name val="Century Gothic"/>
      <family val="2"/>
    </font>
    <font>
      <b/>
      <sz val="11"/>
      <color theme="1"/>
      <name val="微軟正黑體"/>
      <family val="2"/>
      <charset val="136"/>
    </font>
    <font>
      <b/>
      <sz val="11"/>
      <color rgb="FF000000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b/>
      <sz val="12"/>
      <color theme="0" tint="-0.34998626667073579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2"/>
      <color theme="0" tint="-0.499984740745262"/>
      <name val="微軟正黑體"/>
      <family val="2"/>
      <charset val="136"/>
    </font>
    <font>
      <b/>
      <strike/>
      <sz val="12"/>
      <color rgb="FFFF0000"/>
      <name val="微軟正黑體"/>
      <family val="2"/>
      <charset val="136"/>
    </font>
    <font>
      <b/>
      <sz val="12"/>
      <color rgb="FFFFC000"/>
      <name val="微軟正黑體"/>
      <family val="2"/>
      <charset val="136"/>
    </font>
    <font>
      <b/>
      <sz val="12"/>
      <color theme="3" tint="0.499984740745262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5" borderId="14" xfId="0" applyFont="1" applyFill="1" applyBorder="1">
      <alignment vertical="center"/>
    </xf>
    <xf numFmtId="0" fontId="5" fillId="5" borderId="15" xfId="0" applyFont="1" applyFill="1" applyBorder="1">
      <alignment vertical="center"/>
    </xf>
    <xf numFmtId="0" fontId="3" fillId="5" borderId="16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5" borderId="14" xfId="0" applyFont="1" applyFill="1" applyBorder="1">
      <alignment vertical="center"/>
    </xf>
    <xf numFmtId="0" fontId="7" fillId="3" borderId="17" xfId="0" applyFont="1" applyFill="1" applyBorder="1">
      <alignment vertical="center"/>
    </xf>
    <xf numFmtId="0" fontId="8" fillId="3" borderId="18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9" fillId="0" borderId="22" xfId="0" applyFont="1" applyBorder="1">
      <alignment vertical="center"/>
    </xf>
    <xf numFmtId="0" fontId="9" fillId="0" borderId="0" xfId="0" applyFont="1">
      <alignment vertical="center"/>
    </xf>
    <xf numFmtId="0" fontId="7" fillId="7" borderId="23" xfId="0" applyFont="1" applyFill="1" applyBorder="1">
      <alignment vertical="center"/>
    </xf>
    <xf numFmtId="0" fontId="7" fillId="7" borderId="24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7" fillId="7" borderId="25" xfId="0" applyFont="1" applyFill="1" applyBorder="1" applyAlignment="1">
      <alignment horizontal="left" vertical="center"/>
    </xf>
    <xf numFmtId="0" fontId="9" fillId="0" borderId="27" xfId="0" applyFont="1" applyBorder="1">
      <alignment vertical="center"/>
    </xf>
    <xf numFmtId="0" fontId="7" fillId="8" borderId="28" xfId="0" applyFont="1" applyFill="1" applyBorder="1">
      <alignment vertical="center"/>
    </xf>
    <xf numFmtId="0" fontId="3" fillId="8" borderId="29" xfId="0" applyFont="1" applyFill="1" applyBorder="1" applyAlignment="1">
      <alignment vertical="center" wrapText="1"/>
    </xf>
    <xf numFmtId="0" fontId="3" fillId="8" borderId="30" xfId="0" applyFont="1" applyFill="1" applyBorder="1" applyAlignment="1">
      <alignment vertical="center" wrapText="1"/>
    </xf>
    <xf numFmtId="0" fontId="3" fillId="8" borderId="31" xfId="0" applyFont="1" applyFill="1" applyBorder="1">
      <alignment vertical="center"/>
    </xf>
    <xf numFmtId="0" fontId="3" fillId="8" borderId="32" xfId="0" applyFont="1" applyFill="1" applyBorder="1">
      <alignment vertical="center"/>
    </xf>
    <xf numFmtId="0" fontId="7" fillId="7" borderId="33" xfId="0" applyFont="1" applyFill="1" applyBorder="1" applyAlignment="1">
      <alignment horizontal="left" vertical="center"/>
    </xf>
    <xf numFmtId="0" fontId="7" fillId="8" borderId="39" xfId="0" applyFont="1" applyFill="1" applyBorder="1">
      <alignment vertical="center"/>
    </xf>
    <xf numFmtId="0" fontId="7" fillId="8" borderId="40" xfId="0" applyFont="1" applyFill="1" applyBorder="1" applyAlignment="1">
      <alignment horizontal="left" vertical="center"/>
    </xf>
    <xf numFmtId="0" fontId="7" fillId="8" borderId="15" xfId="0" applyFont="1" applyFill="1" applyBorder="1" applyAlignment="1">
      <alignment horizontal="left" vertical="center"/>
    </xf>
    <xf numFmtId="0" fontId="7" fillId="8" borderId="14" xfId="0" applyFont="1" applyFill="1" applyBorder="1" applyAlignment="1">
      <alignment horizontal="left" vertical="center"/>
    </xf>
    <xf numFmtId="0" fontId="7" fillId="8" borderId="26" xfId="0" applyFont="1" applyFill="1" applyBorder="1" applyAlignment="1">
      <alignment horizontal="left" vertical="center"/>
    </xf>
    <xf numFmtId="0" fontId="7" fillId="4" borderId="34" xfId="0" applyFont="1" applyFill="1" applyBorder="1">
      <alignment vertical="center"/>
    </xf>
    <xf numFmtId="0" fontId="7" fillId="4" borderId="35" xfId="0" applyFont="1" applyFill="1" applyBorder="1" applyAlignment="1">
      <alignment horizontal="left" vertical="center"/>
    </xf>
    <xf numFmtId="0" fontId="3" fillId="4" borderId="36" xfId="0" applyFont="1" applyFill="1" applyBorder="1" applyAlignment="1">
      <alignment horizontal="left" vertical="center"/>
    </xf>
    <xf numFmtId="0" fontId="3" fillId="4" borderId="35" xfId="0" applyFont="1" applyFill="1" applyBorder="1" applyAlignment="1">
      <alignment horizontal="left" vertical="center" wrapText="1"/>
    </xf>
    <xf numFmtId="0" fontId="3" fillId="4" borderId="37" xfId="0" applyFont="1" applyFill="1" applyBorder="1" applyAlignment="1">
      <alignment horizontal="left" vertical="center"/>
    </xf>
    <xf numFmtId="0" fontId="3" fillId="4" borderId="35" xfId="0" applyFont="1" applyFill="1" applyBorder="1" applyAlignment="1">
      <alignment horizontal="left" vertical="center"/>
    </xf>
    <xf numFmtId="0" fontId="3" fillId="4" borderId="38" xfId="0" applyFont="1" applyFill="1" applyBorder="1" applyAlignment="1">
      <alignment horizontal="left" vertical="center"/>
    </xf>
    <xf numFmtId="0" fontId="7" fillId="4" borderId="28" xfId="0" applyFont="1" applyFill="1" applyBorder="1">
      <alignment vertical="center"/>
    </xf>
    <xf numFmtId="0" fontId="7" fillId="4" borderId="29" xfId="0" applyFont="1" applyFill="1" applyBorder="1" applyAlignment="1">
      <alignment horizontal="left" vertical="center"/>
    </xf>
    <xf numFmtId="0" fontId="7" fillId="4" borderId="30" xfId="0" applyFont="1" applyFill="1" applyBorder="1" applyAlignment="1">
      <alignment horizontal="left" vertical="center"/>
    </xf>
    <xf numFmtId="0" fontId="7" fillId="4" borderId="31" xfId="0" applyFont="1" applyFill="1" applyBorder="1" applyAlignment="1">
      <alignment horizontal="left" vertical="center"/>
    </xf>
    <xf numFmtId="0" fontId="7" fillId="4" borderId="32" xfId="0" applyFont="1" applyFill="1" applyBorder="1" applyAlignment="1">
      <alignment horizontal="left" vertical="center"/>
    </xf>
    <xf numFmtId="0" fontId="7" fillId="4" borderId="23" xfId="0" applyFont="1" applyFill="1" applyBorder="1">
      <alignment vertical="center"/>
    </xf>
    <xf numFmtId="0" fontId="7" fillId="4" borderId="24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7" fillId="4" borderId="25" xfId="0" applyFont="1" applyFill="1" applyBorder="1" applyAlignment="1">
      <alignment horizontal="left" vertical="center"/>
    </xf>
    <xf numFmtId="0" fontId="7" fillId="4" borderId="14" xfId="0" applyFont="1" applyFill="1" applyBorder="1" applyAlignment="1">
      <alignment horizontal="left" vertical="center"/>
    </xf>
    <xf numFmtId="0" fontId="7" fillId="4" borderId="26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readingOrder="1"/>
    </xf>
    <xf numFmtId="0" fontId="11" fillId="0" borderId="0" xfId="0" applyFont="1" applyAlignment="1">
      <alignment horizontal="left" vertical="center" indent="7" readingOrder="1"/>
    </xf>
    <xf numFmtId="0" fontId="14" fillId="0" borderId="0" xfId="0" applyFont="1" applyAlignment="1">
      <alignment horizontal="left" vertical="center" readingOrder="1"/>
    </xf>
    <xf numFmtId="0" fontId="11" fillId="0" borderId="0" xfId="0" applyFont="1" applyAlignment="1">
      <alignment horizontal="left" vertical="center" indent="5" readingOrder="1"/>
    </xf>
    <xf numFmtId="0" fontId="12" fillId="0" borderId="0" xfId="0" applyFont="1">
      <alignment vertical="center"/>
    </xf>
    <xf numFmtId="0" fontId="16" fillId="0" borderId="0" xfId="0" applyFont="1" applyAlignment="1">
      <alignment horizontal="left" vertical="center" indent="7" readingOrder="1"/>
    </xf>
    <xf numFmtId="0" fontId="3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14" fontId="18" fillId="6" borderId="2" xfId="0" applyNumberFormat="1" applyFont="1" applyFill="1" applyBorder="1" applyAlignment="1">
      <alignment horizontal="center" vertical="center"/>
    </xf>
    <xf numFmtId="14" fontId="18" fillId="6" borderId="2" xfId="0" applyNumberFormat="1" applyFont="1" applyFill="1" applyBorder="1" applyAlignment="1">
      <alignment horizontal="center" vertical="center" wrapText="1"/>
    </xf>
    <xf numFmtId="178" fontId="19" fillId="6" borderId="2" xfId="0" applyNumberFormat="1" applyFont="1" applyFill="1" applyBorder="1" applyAlignment="1">
      <alignment horizontal="center" vertical="center"/>
    </xf>
    <xf numFmtId="178" fontId="18" fillId="6" borderId="2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 wrapText="1"/>
    </xf>
    <xf numFmtId="0" fontId="21" fillId="3" borderId="2" xfId="0" applyFont="1" applyFill="1" applyBorder="1" applyAlignment="1">
      <alignment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176" fontId="21" fillId="3" borderId="2" xfId="1" applyNumberFormat="1" applyFont="1" applyFill="1" applyBorder="1" applyAlignment="1">
      <alignment horizontal="center" vertical="center" wrapText="1"/>
    </xf>
    <xf numFmtId="10" fontId="21" fillId="3" borderId="2" xfId="2" applyNumberFormat="1" applyFont="1" applyFill="1" applyBorder="1" applyAlignment="1">
      <alignment horizontal="center" vertical="center" wrapText="1"/>
    </xf>
    <xf numFmtId="178" fontId="21" fillId="3" borderId="2" xfId="0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right" vertical="center" wrapText="1"/>
    </xf>
    <xf numFmtId="0" fontId="21" fillId="3" borderId="0" xfId="0" applyFont="1" applyFill="1" applyAlignment="1">
      <alignment vertical="center" wrapText="1"/>
    </xf>
    <xf numFmtId="10" fontId="21" fillId="3" borderId="2" xfId="2" applyNumberFormat="1" applyFont="1" applyFill="1" applyBorder="1" applyAlignment="1">
      <alignment horizontal="center" vertical="center" shrinkToFit="1"/>
    </xf>
    <xf numFmtId="0" fontId="2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22" fillId="0" borderId="0" xfId="0" applyFont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176" fontId="3" fillId="0" borderId="2" xfId="1" applyNumberFormat="1" applyFont="1" applyBorder="1" applyAlignment="1">
      <alignment vertical="center"/>
    </xf>
    <xf numFmtId="176" fontId="3" fillId="0" borderId="2" xfId="1" applyNumberFormat="1" applyFont="1" applyBorder="1" applyAlignment="1">
      <alignment horizontal="right" vertical="center"/>
    </xf>
    <xf numFmtId="10" fontId="3" fillId="0" borderId="2" xfId="2" applyNumberFormat="1" applyFont="1" applyBorder="1" applyAlignment="1">
      <alignment horizontal="right" vertical="center"/>
    </xf>
    <xf numFmtId="10" fontId="3" fillId="0" borderId="2" xfId="2" applyNumberFormat="1" applyFont="1" applyBorder="1" applyAlignment="1">
      <alignment horizontal="right" vertical="center" shrinkToFit="1"/>
    </xf>
    <xf numFmtId="178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3" fillId="0" borderId="2" xfId="0" applyFont="1" applyBorder="1">
      <alignment vertical="center"/>
    </xf>
    <xf numFmtId="0" fontId="4" fillId="2" borderId="2" xfId="0" applyFont="1" applyFill="1" applyBorder="1">
      <alignment vertical="center"/>
    </xf>
    <xf numFmtId="176" fontId="4" fillId="2" borderId="2" xfId="1" applyNumberFormat="1" applyFont="1" applyFill="1" applyBorder="1">
      <alignment vertical="center"/>
    </xf>
    <xf numFmtId="10" fontId="4" fillId="2" borderId="2" xfId="2" applyNumberFormat="1" applyFont="1" applyFill="1" applyBorder="1">
      <alignment vertical="center"/>
    </xf>
    <xf numFmtId="10" fontId="4" fillId="2" borderId="2" xfId="2" applyNumberFormat="1" applyFont="1" applyFill="1" applyBorder="1" applyAlignment="1">
      <alignment vertical="center" shrinkToFit="1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18" fillId="4" borderId="2" xfId="0" applyFont="1" applyFill="1" applyBorder="1">
      <alignment vertical="center"/>
    </xf>
    <xf numFmtId="0" fontId="18" fillId="4" borderId="2" xfId="0" applyFont="1" applyFill="1" applyBorder="1" applyAlignment="1">
      <alignment horizontal="right" vertical="center"/>
    </xf>
    <xf numFmtId="176" fontId="18" fillId="4" borderId="2" xfId="1" applyNumberFormat="1" applyFont="1" applyFill="1" applyBorder="1" applyAlignment="1">
      <alignment vertical="center"/>
    </xf>
    <xf numFmtId="176" fontId="18" fillId="4" borderId="2" xfId="1" applyNumberFormat="1" applyFont="1" applyFill="1" applyBorder="1" applyAlignment="1">
      <alignment horizontal="right" vertical="center"/>
    </xf>
    <xf numFmtId="10" fontId="18" fillId="4" borderId="2" xfId="2" applyNumberFormat="1" applyFont="1" applyFill="1" applyBorder="1" applyAlignment="1">
      <alignment horizontal="right" vertical="center"/>
    </xf>
    <xf numFmtId="10" fontId="18" fillId="4" borderId="2" xfId="2" applyNumberFormat="1" applyFont="1" applyFill="1" applyBorder="1" applyAlignment="1">
      <alignment horizontal="right" vertical="center" shrinkToFit="1"/>
    </xf>
    <xf numFmtId="178" fontId="18" fillId="4" borderId="2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right" vertical="center"/>
    </xf>
    <xf numFmtId="0" fontId="18" fillId="4" borderId="0" xfId="0" applyFont="1" applyFill="1">
      <alignment vertical="center"/>
    </xf>
    <xf numFmtId="0" fontId="19" fillId="6" borderId="2" xfId="0" applyFont="1" applyFill="1" applyBorder="1">
      <alignment vertical="center"/>
    </xf>
    <xf numFmtId="0" fontId="19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 wrapText="1"/>
    </xf>
    <xf numFmtId="176" fontId="19" fillId="6" borderId="2" xfId="1" applyNumberFormat="1" applyFont="1" applyFill="1" applyBorder="1" applyAlignment="1">
      <alignment vertical="center"/>
    </xf>
    <xf numFmtId="176" fontId="19" fillId="6" borderId="2" xfId="1" applyNumberFormat="1" applyFont="1" applyFill="1" applyBorder="1">
      <alignment vertical="center"/>
    </xf>
    <xf numFmtId="10" fontId="19" fillId="6" borderId="2" xfId="2" applyNumberFormat="1" applyFont="1" applyFill="1" applyBorder="1">
      <alignment vertical="center"/>
    </xf>
    <xf numFmtId="10" fontId="19" fillId="6" borderId="2" xfId="2" applyNumberFormat="1" applyFont="1" applyFill="1" applyBorder="1" applyAlignment="1">
      <alignment vertical="center" shrinkToFit="1"/>
    </xf>
    <xf numFmtId="0" fontId="19" fillId="6" borderId="0" xfId="0" applyFont="1" applyFill="1" applyAlignment="1">
      <alignment horizontal="right" vertical="center"/>
    </xf>
    <xf numFmtId="0" fontId="19" fillId="6" borderId="0" xfId="0" applyFont="1" applyFill="1">
      <alignment vertical="center"/>
    </xf>
    <xf numFmtId="176" fontId="3" fillId="0" borderId="2" xfId="1" applyNumberFormat="1" applyFont="1" applyBorder="1">
      <alignment vertical="center"/>
    </xf>
    <xf numFmtId="10" fontId="3" fillId="0" borderId="2" xfId="2" applyNumberFormat="1" applyFont="1" applyBorder="1">
      <alignment vertical="center"/>
    </xf>
    <xf numFmtId="10" fontId="18" fillId="0" borderId="2" xfId="2" applyNumberFormat="1" applyFont="1" applyBorder="1" applyAlignment="1">
      <alignment vertical="center" shrinkToFit="1"/>
    </xf>
    <xf numFmtId="178" fontId="3" fillId="5" borderId="2" xfId="0" applyNumberFormat="1" applyFont="1" applyFill="1" applyBorder="1" applyAlignment="1">
      <alignment horizontal="center" vertical="center"/>
    </xf>
    <xf numFmtId="10" fontId="3" fillId="0" borderId="2" xfId="2" applyNumberFormat="1" applyFont="1" applyBorder="1" applyAlignment="1">
      <alignment vertical="center" shrinkToFit="1"/>
    </xf>
    <xf numFmtId="0" fontId="20" fillId="5" borderId="0" xfId="0" applyFont="1" applyFill="1" applyAlignment="1">
      <alignment horizontal="center" vertical="center"/>
    </xf>
    <xf numFmtId="176" fontId="3" fillId="0" borderId="0" xfId="1" applyNumberFormat="1" applyFont="1">
      <alignment vertical="center"/>
    </xf>
    <xf numFmtId="10" fontId="3" fillId="0" borderId="0" xfId="2" applyNumberFormat="1" applyFont="1">
      <alignment vertical="center"/>
    </xf>
    <xf numFmtId="10" fontId="3" fillId="0" borderId="0" xfId="2" applyNumberFormat="1" applyFont="1" applyAlignment="1">
      <alignment vertical="center" shrinkToFit="1"/>
    </xf>
    <xf numFmtId="178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0" fontId="24" fillId="0" borderId="2" xfId="2" applyNumberFormat="1" applyFont="1" applyBorder="1" applyAlignment="1">
      <alignment vertical="center" shrinkToFit="1"/>
    </xf>
    <xf numFmtId="0" fontId="18" fillId="0" borderId="2" xfId="0" applyFont="1" applyBorder="1">
      <alignment vertical="center"/>
    </xf>
    <xf numFmtId="0" fontId="18" fillId="5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176" fontId="18" fillId="0" borderId="2" xfId="1" applyNumberFormat="1" applyFont="1" applyBorder="1" applyAlignment="1">
      <alignment vertical="center"/>
    </xf>
    <xf numFmtId="10" fontId="25" fillId="0" borderId="2" xfId="2" applyNumberFormat="1" applyFont="1" applyBorder="1" applyAlignment="1">
      <alignment vertical="center" shrinkToFit="1"/>
    </xf>
    <xf numFmtId="0" fontId="3" fillId="2" borderId="2" xfId="0" applyFont="1" applyFill="1" applyBorder="1">
      <alignment vertical="center"/>
    </xf>
    <xf numFmtId="0" fontId="20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176" fontId="3" fillId="2" borderId="2" xfId="1" applyNumberFormat="1" applyFont="1" applyFill="1" applyBorder="1" applyAlignment="1">
      <alignment vertical="center"/>
    </xf>
    <xf numFmtId="176" fontId="3" fillId="2" borderId="2" xfId="1" applyNumberFormat="1" applyFont="1" applyFill="1" applyBorder="1">
      <alignment vertical="center"/>
    </xf>
    <xf numFmtId="10" fontId="3" fillId="2" borderId="2" xfId="2" applyNumberFormat="1" applyFont="1" applyFill="1" applyBorder="1">
      <alignment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18" fillId="2" borderId="2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vertical="center" wrapText="1"/>
    </xf>
    <xf numFmtId="0" fontId="3" fillId="2" borderId="0" xfId="0" applyFont="1" applyFill="1">
      <alignment vertical="center"/>
    </xf>
    <xf numFmtId="0" fontId="20" fillId="0" borderId="2" xfId="0" applyFont="1" applyBorder="1" applyAlignment="1">
      <alignment horizontal="center" vertical="center"/>
    </xf>
    <xf numFmtId="176" fontId="3" fillId="0" borderId="2" xfId="1" applyNumberFormat="1" applyFont="1" applyFill="1" applyBorder="1" applyAlignment="1">
      <alignment vertical="center"/>
    </xf>
    <xf numFmtId="176" fontId="3" fillId="0" borderId="2" xfId="1" applyNumberFormat="1" applyFont="1" applyFill="1" applyBorder="1">
      <alignment vertical="center"/>
    </xf>
    <xf numFmtId="10" fontId="3" fillId="0" borderId="2" xfId="2" applyNumberFormat="1" applyFont="1" applyFill="1" applyBorder="1">
      <alignment vertical="center"/>
    </xf>
    <xf numFmtId="10" fontId="25" fillId="0" borderId="2" xfId="2" applyNumberFormat="1" applyFont="1" applyBorder="1" applyAlignment="1">
      <alignment vertical="center" wrapText="1" shrinkToFit="1"/>
    </xf>
    <xf numFmtId="178" fontId="3" fillId="5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0" fillId="2" borderId="2" xfId="0" applyFont="1" applyFill="1" applyBorder="1">
      <alignment vertical="center"/>
    </xf>
    <xf numFmtId="0" fontId="20" fillId="2" borderId="0" xfId="0" applyFont="1" applyFill="1">
      <alignment vertical="center"/>
    </xf>
    <xf numFmtId="176" fontId="20" fillId="2" borderId="2" xfId="1" applyNumberFormat="1" applyFont="1" applyFill="1" applyBorder="1" applyAlignment="1">
      <alignment vertical="center"/>
    </xf>
    <xf numFmtId="176" fontId="20" fillId="2" borderId="2" xfId="1" applyNumberFormat="1" applyFont="1" applyFill="1" applyBorder="1">
      <alignment vertical="center"/>
    </xf>
    <xf numFmtId="10" fontId="20" fillId="2" borderId="2" xfId="2" applyNumberFormat="1" applyFont="1" applyFill="1" applyBorder="1">
      <alignment vertical="center"/>
    </xf>
    <xf numFmtId="10" fontId="20" fillId="2" borderId="2" xfId="2" applyNumberFormat="1" applyFont="1" applyFill="1" applyBorder="1" applyAlignment="1">
      <alignment vertical="center" shrinkToFit="1"/>
    </xf>
    <xf numFmtId="178" fontId="20" fillId="2" borderId="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right" vertical="center"/>
    </xf>
    <xf numFmtId="0" fontId="20" fillId="2" borderId="2" xfId="0" applyFont="1" applyFill="1" applyBorder="1" applyAlignment="1">
      <alignment vertical="center" wrapText="1"/>
    </xf>
    <xf numFmtId="0" fontId="20" fillId="0" borderId="2" xfId="0" applyFont="1" applyBorder="1">
      <alignment vertical="center"/>
    </xf>
    <xf numFmtId="0" fontId="20" fillId="0" borderId="2" xfId="0" applyFont="1" applyBorder="1" applyAlignment="1">
      <alignment vertical="center" wrapText="1"/>
    </xf>
    <xf numFmtId="176" fontId="20" fillId="0" borderId="2" xfId="1" applyNumberFormat="1" applyFont="1" applyBorder="1" applyAlignment="1">
      <alignment vertical="center"/>
    </xf>
    <xf numFmtId="176" fontId="20" fillId="0" borderId="2" xfId="1" applyNumberFormat="1" applyFont="1" applyBorder="1">
      <alignment vertical="center"/>
    </xf>
    <xf numFmtId="10" fontId="20" fillId="0" borderId="2" xfId="2" applyNumberFormat="1" applyFont="1" applyBorder="1">
      <alignment vertical="center"/>
    </xf>
    <xf numFmtId="10" fontId="20" fillId="0" borderId="2" xfId="2" applyNumberFormat="1" applyFont="1" applyBorder="1" applyAlignment="1">
      <alignment vertical="center" shrinkToFit="1"/>
    </xf>
    <xf numFmtId="178" fontId="20" fillId="5" borderId="2" xfId="0" applyNumberFormat="1" applyFont="1" applyFill="1" applyBorder="1" applyAlignment="1">
      <alignment horizontal="center" vertical="center"/>
    </xf>
    <xf numFmtId="178" fontId="20" fillId="6" borderId="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176" fontId="20" fillId="0" borderId="2" xfId="1" applyNumberFormat="1" applyFont="1" applyFill="1" applyBorder="1" applyAlignment="1">
      <alignment vertical="center"/>
    </xf>
    <xf numFmtId="176" fontId="20" fillId="0" borderId="2" xfId="1" applyNumberFormat="1" applyFont="1" applyFill="1" applyBorder="1">
      <alignment vertical="center"/>
    </xf>
    <xf numFmtId="10" fontId="20" fillId="0" borderId="2" xfId="2" applyNumberFormat="1" applyFont="1" applyFill="1" applyBorder="1">
      <alignment vertical="center"/>
    </xf>
    <xf numFmtId="10" fontId="20" fillId="0" borderId="2" xfId="2" applyNumberFormat="1" applyFont="1" applyBorder="1" applyAlignment="1">
      <alignment vertical="center" wrapText="1" shrinkToFit="1"/>
    </xf>
    <xf numFmtId="178" fontId="20" fillId="0" borderId="2" xfId="0" applyNumberFormat="1" applyFont="1" applyBorder="1" applyAlignment="1">
      <alignment horizontal="center" vertical="center"/>
    </xf>
    <xf numFmtId="178" fontId="20" fillId="5" borderId="2" xfId="0" applyNumberFormat="1" applyFont="1" applyFill="1" applyBorder="1" applyAlignment="1">
      <alignment horizontal="center" vertical="center" wrapText="1"/>
    </xf>
  </cellXfs>
  <cellStyles count="3">
    <cellStyle name="一般" xfId="0" builtinId="0"/>
    <cellStyle name="千分位" xfId="1" builtinId="3"/>
    <cellStyle name="百分比" xfId="2" builtinId="5"/>
  </cellStyles>
  <dxfs count="8">
    <dxf>
      <font>
        <b val="0"/>
        <i val="0"/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325438</xdr:colOff>
      <xdr:row>0</xdr:row>
      <xdr:rowOff>0</xdr:rowOff>
    </xdr:from>
    <xdr:to>
      <xdr:col>16</xdr:col>
      <xdr:colOff>819842</xdr:colOff>
      <xdr:row>24</xdr:row>
      <xdr:rowOff>131005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2F425AF-B82B-4452-A3FA-09226B670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438" y="0"/>
          <a:ext cx="18907910" cy="5160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325438</xdr:colOff>
      <xdr:row>0</xdr:row>
      <xdr:rowOff>0</xdr:rowOff>
    </xdr:from>
    <xdr:to>
      <xdr:col>19</xdr:col>
      <xdr:colOff>450048</xdr:colOff>
      <xdr:row>24</xdr:row>
      <xdr:rowOff>131005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ECF880B-6C06-B566-1F6F-398A26026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438" y="0"/>
          <a:ext cx="17397953" cy="5191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9129-455B-4AED-BD72-CD68B1213C2B}">
  <dimension ref="A27:AH75"/>
  <sheetViews>
    <sheetView tabSelected="1" topLeftCell="A27" zoomScale="85" zoomScaleNormal="85" workbookViewId="0">
      <pane xSplit="5" ySplit="16" topLeftCell="F43" activePane="bottomRight" state="frozen"/>
      <selection activeCell="A27" sqref="A27"/>
      <selection pane="topRight" activeCell="F27" sqref="F27"/>
      <selection pane="bottomLeft" activeCell="A43" sqref="A43"/>
      <selection pane="bottomRight" activeCell="E56" sqref="E56"/>
    </sheetView>
  </sheetViews>
  <sheetFormatPr defaultColWidth="8.875" defaultRowHeight="16.5" outlineLevelRow="1" outlineLevelCol="1" x14ac:dyDescent="0.25"/>
  <cols>
    <col min="1" max="1" width="6.875" style="1" customWidth="1"/>
    <col min="2" max="2" width="8.5" style="129" customWidth="1"/>
    <col min="3" max="3" width="52.75" style="1" customWidth="1"/>
    <col min="4" max="4" width="10.25" style="68" customWidth="1"/>
    <col min="5" max="5" width="25.125" style="1" customWidth="1"/>
    <col min="6" max="6" width="42.375" style="1" customWidth="1"/>
    <col min="7" max="7" width="19.375" style="1" customWidth="1"/>
    <col min="8" max="8" width="15.5" style="130" hidden="1" customWidth="1"/>
    <col min="9" max="9" width="14.75" style="130" hidden="1" customWidth="1"/>
    <col min="10" max="10" width="10.625" style="131" hidden="1" customWidth="1"/>
    <col min="11" max="11" width="16.5" style="132" customWidth="1"/>
    <col min="12" max="12" width="12" style="1" customWidth="1"/>
    <col min="13" max="14" width="12" style="133" customWidth="1" outlineLevel="1"/>
    <col min="15" max="15" width="12" style="1" customWidth="1"/>
    <col min="16" max="17" width="12" style="133" customWidth="1" outlineLevel="1"/>
    <col min="18" max="18" width="13.75" style="1" customWidth="1"/>
    <col min="19" max="19" width="13.875" style="133" customWidth="1" outlineLevel="1"/>
    <col min="20" max="20" width="11.25" style="133" customWidth="1" outlineLevel="1"/>
    <col min="21" max="21" width="12.25" style="68" customWidth="1"/>
    <col min="22" max="23" width="12.25" style="68" customWidth="1" outlineLevel="1"/>
    <col min="24" max="24" width="10.125" style="68" customWidth="1"/>
    <col min="25" max="26" width="10.125" style="68" customWidth="1" outlineLevel="1"/>
    <col min="27" max="27" width="10.125" style="68" customWidth="1"/>
    <col min="28" max="29" width="10.125" style="68" customWidth="1" outlineLevel="1"/>
    <col min="30" max="30" width="10.25" style="68" customWidth="1"/>
    <col min="31" max="32" width="10.25" style="68" customWidth="1" outlineLevel="1"/>
    <col min="33" max="33" width="11.125" style="68" customWidth="1"/>
    <col min="34" max="34" width="25.125" style="94" customWidth="1"/>
    <col min="35" max="16384" width="8.875" style="1"/>
  </cols>
  <sheetData>
    <row r="27" spans="1:34" s="81" customFormat="1" x14ac:dyDescent="0.25">
      <c r="A27" s="158" t="s">
        <v>73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60"/>
      <c r="L27" s="167" t="s">
        <v>74</v>
      </c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9"/>
      <c r="AH27" s="80"/>
    </row>
    <row r="28" spans="1:34" s="68" customFormat="1" ht="19.899999999999999" customHeight="1" x14ac:dyDescent="0.25">
      <c r="A28" s="161"/>
      <c r="B28" s="162"/>
      <c r="C28" s="162"/>
      <c r="D28" s="162"/>
      <c r="E28" s="162"/>
      <c r="F28" s="162"/>
      <c r="G28" s="162"/>
      <c r="H28" s="162"/>
      <c r="I28" s="162"/>
      <c r="J28" s="162"/>
      <c r="K28" s="163"/>
      <c r="L28" s="167">
        <v>1</v>
      </c>
      <c r="M28" s="168"/>
      <c r="N28" s="169"/>
      <c r="O28" s="167">
        <v>2</v>
      </c>
      <c r="P28" s="168"/>
      <c r="Q28" s="169"/>
      <c r="R28" s="167">
        <v>3</v>
      </c>
      <c r="S28" s="168"/>
      <c r="T28" s="169"/>
      <c r="U28" s="167">
        <v>4</v>
      </c>
      <c r="V28" s="168"/>
      <c r="W28" s="169"/>
      <c r="X28" s="167">
        <v>5</v>
      </c>
      <c r="Y28" s="168"/>
      <c r="Z28" s="169"/>
      <c r="AA28" s="167">
        <v>6</v>
      </c>
      <c r="AB28" s="168"/>
      <c r="AC28" s="169"/>
      <c r="AD28" s="167">
        <v>7</v>
      </c>
      <c r="AE28" s="168"/>
      <c r="AF28" s="169"/>
      <c r="AG28" s="56">
        <v>8</v>
      </c>
      <c r="AH28" s="82"/>
    </row>
    <row r="29" spans="1:34" s="68" customFormat="1" ht="19.899999999999999" customHeight="1" x14ac:dyDescent="0.25">
      <c r="A29" s="164"/>
      <c r="B29" s="165"/>
      <c r="C29" s="165"/>
      <c r="D29" s="165"/>
      <c r="E29" s="165"/>
      <c r="F29" s="165"/>
      <c r="G29" s="165"/>
      <c r="H29" s="165"/>
      <c r="I29" s="165"/>
      <c r="J29" s="165"/>
      <c r="K29" s="166"/>
      <c r="L29" s="57" t="s">
        <v>48</v>
      </c>
      <c r="M29" s="83"/>
      <c r="N29" s="84"/>
      <c r="O29" s="57" t="s">
        <v>49</v>
      </c>
      <c r="P29" s="83"/>
      <c r="Q29" s="84"/>
      <c r="R29" s="57" t="s">
        <v>50</v>
      </c>
      <c r="S29" s="83"/>
      <c r="T29" s="84"/>
      <c r="U29" s="57" t="s">
        <v>51</v>
      </c>
      <c r="V29" s="58"/>
      <c r="W29" s="84"/>
      <c r="X29" s="57" t="s">
        <v>52</v>
      </c>
      <c r="Y29" s="58"/>
      <c r="Z29" s="59"/>
      <c r="AA29" s="57" t="s">
        <v>5</v>
      </c>
      <c r="AB29" s="58"/>
      <c r="AC29" s="59"/>
      <c r="AD29" s="57" t="s">
        <v>3</v>
      </c>
      <c r="AE29" s="58"/>
      <c r="AF29" s="59"/>
      <c r="AG29" s="57" t="s">
        <v>2</v>
      </c>
      <c r="AH29" s="82"/>
    </row>
    <row r="30" spans="1:34" s="78" customFormat="1" ht="29.65" customHeight="1" x14ac:dyDescent="0.25">
      <c r="A30" s="71" t="s">
        <v>0</v>
      </c>
      <c r="B30" s="72" t="s">
        <v>43</v>
      </c>
      <c r="C30" s="73" t="s">
        <v>1</v>
      </c>
      <c r="D30" s="72" t="s">
        <v>66</v>
      </c>
      <c r="E30" s="72" t="s">
        <v>65</v>
      </c>
      <c r="F30" s="72" t="s">
        <v>176</v>
      </c>
      <c r="G30" s="71" t="s">
        <v>25</v>
      </c>
      <c r="H30" s="74" t="s">
        <v>53</v>
      </c>
      <c r="I30" s="74" t="s">
        <v>54</v>
      </c>
      <c r="J30" s="75" t="s">
        <v>55</v>
      </c>
      <c r="K30" s="79" t="s">
        <v>155</v>
      </c>
      <c r="L30" s="72" t="s">
        <v>63</v>
      </c>
      <c r="M30" s="76" t="s">
        <v>64</v>
      </c>
      <c r="N30" s="76" t="s">
        <v>70</v>
      </c>
      <c r="O30" s="72" t="s">
        <v>56</v>
      </c>
      <c r="P30" s="76" t="s">
        <v>57</v>
      </c>
      <c r="Q30" s="76" t="s">
        <v>70</v>
      </c>
      <c r="R30" s="72" t="s">
        <v>58</v>
      </c>
      <c r="S30" s="76" t="s">
        <v>59</v>
      </c>
      <c r="T30" s="76" t="s">
        <v>70</v>
      </c>
      <c r="U30" s="72" t="s">
        <v>78</v>
      </c>
      <c r="V30" s="72" t="s">
        <v>79</v>
      </c>
      <c r="W30" s="76" t="s">
        <v>70</v>
      </c>
      <c r="X30" s="72" t="s">
        <v>60</v>
      </c>
      <c r="Y30" s="72" t="s">
        <v>37</v>
      </c>
      <c r="Z30" s="76" t="s">
        <v>70</v>
      </c>
      <c r="AA30" s="72" t="s">
        <v>68</v>
      </c>
      <c r="AB30" s="72" t="s">
        <v>67</v>
      </c>
      <c r="AC30" s="76" t="s">
        <v>70</v>
      </c>
      <c r="AD30" s="72" t="s">
        <v>61</v>
      </c>
      <c r="AE30" s="72" t="s">
        <v>62</v>
      </c>
      <c r="AF30" s="76" t="s">
        <v>70</v>
      </c>
      <c r="AG30" s="72" t="s">
        <v>4</v>
      </c>
      <c r="AH30" s="77"/>
    </row>
    <row r="31" spans="1:34" ht="19.149999999999999" hidden="1" customHeight="1" outlineLevel="1" x14ac:dyDescent="0.25">
      <c r="A31" s="69">
        <v>1</v>
      </c>
      <c r="B31" s="85"/>
      <c r="C31" s="69" t="s">
        <v>6</v>
      </c>
      <c r="D31" s="92"/>
      <c r="E31" s="86"/>
      <c r="F31" s="86"/>
      <c r="G31" s="87">
        <v>260000000</v>
      </c>
      <c r="H31" s="88"/>
      <c r="I31" s="88"/>
      <c r="J31" s="89"/>
      <c r="K31" s="90"/>
      <c r="L31" s="86"/>
      <c r="M31" s="91"/>
      <c r="N31" s="91"/>
      <c r="O31" s="86"/>
      <c r="P31" s="91"/>
      <c r="Q31" s="91"/>
      <c r="R31" s="86"/>
      <c r="S31" s="91"/>
      <c r="T31" s="91"/>
      <c r="U31" s="92"/>
      <c r="V31" s="93" t="s">
        <v>23</v>
      </c>
      <c r="W31" s="93"/>
      <c r="X31" s="92"/>
      <c r="Y31" s="92" t="s">
        <v>10</v>
      </c>
      <c r="Z31" s="92"/>
      <c r="AA31" s="92"/>
      <c r="AB31" s="92"/>
      <c r="AC31" s="92"/>
      <c r="AD31" s="92"/>
      <c r="AE31" s="92" t="s">
        <v>17</v>
      </c>
      <c r="AF31" s="92"/>
      <c r="AG31" s="60" t="s">
        <v>9</v>
      </c>
    </row>
    <row r="32" spans="1:34" ht="19.149999999999999" hidden="1" customHeight="1" outlineLevel="1" x14ac:dyDescent="0.25">
      <c r="A32" s="69">
        <v>2</v>
      </c>
      <c r="B32" s="85"/>
      <c r="C32" s="69" t="s">
        <v>19</v>
      </c>
      <c r="D32" s="92"/>
      <c r="E32" s="86"/>
      <c r="F32" s="86"/>
      <c r="G32" s="87">
        <v>19000000</v>
      </c>
      <c r="H32" s="88"/>
      <c r="I32" s="88"/>
      <c r="J32" s="89"/>
      <c r="K32" s="90"/>
      <c r="L32" s="86"/>
      <c r="M32" s="91"/>
      <c r="N32" s="91"/>
      <c r="O32" s="86"/>
      <c r="P32" s="91"/>
      <c r="Q32" s="91"/>
      <c r="R32" s="86"/>
      <c r="S32" s="91"/>
      <c r="T32" s="91"/>
      <c r="U32" s="92"/>
      <c r="V32" s="93" t="s">
        <v>28</v>
      </c>
      <c r="W32" s="93"/>
      <c r="X32" s="92"/>
      <c r="Y32" s="92" t="s">
        <v>11</v>
      </c>
      <c r="Z32" s="92"/>
      <c r="AA32" s="92"/>
      <c r="AB32" s="92"/>
      <c r="AC32" s="92"/>
      <c r="AD32" s="92"/>
      <c r="AE32" s="92" t="s">
        <v>16</v>
      </c>
      <c r="AF32" s="92"/>
      <c r="AG32" s="60" t="s">
        <v>31</v>
      </c>
    </row>
    <row r="33" spans="1:34" ht="19.149999999999999" hidden="1" customHeight="1" outlineLevel="1" x14ac:dyDescent="0.25">
      <c r="A33" s="69">
        <v>3</v>
      </c>
      <c r="B33" s="85"/>
      <c r="C33" s="69" t="s">
        <v>22</v>
      </c>
      <c r="D33" s="92"/>
      <c r="E33" s="86"/>
      <c r="F33" s="86"/>
      <c r="G33" s="87">
        <v>19525275</v>
      </c>
      <c r="H33" s="88">
        <v>18967000</v>
      </c>
      <c r="I33" s="88"/>
      <c r="J33" s="89"/>
      <c r="K33" s="90"/>
      <c r="L33" s="86"/>
      <c r="M33" s="91"/>
      <c r="N33" s="91"/>
      <c r="O33" s="86"/>
      <c r="P33" s="91"/>
      <c r="Q33" s="91"/>
      <c r="R33" s="86"/>
      <c r="S33" s="91"/>
      <c r="T33" s="91"/>
      <c r="U33" s="92"/>
      <c r="V33" s="93" t="s">
        <v>28</v>
      </c>
      <c r="W33" s="93"/>
      <c r="X33" s="92"/>
      <c r="Y33" s="92" t="s">
        <v>12</v>
      </c>
      <c r="Z33" s="92"/>
      <c r="AA33" s="92"/>
      <c r="AB33" s="92"/>
      <c r="AC33" s="92"/>
      <c r="AD33" s="92"/>
      <c r="AE33" s="92" t="s">
        <v>29</v>
      </c>
      <c r="AF33" s="92"/>
      <c r="AG33" s="60" t="s">
        <v>32</v>
      </c>
    </row>
    <row r="34" spans="1:34" ht="19.149999999999999" hidden="1" customHeight="1" outlineLevel="1" x14ac:dyDescent="0.25">
      <c r="A34" s="69">
        <v>4</v>
      </c>
      <c r="B34" s="85"/>
      <c r="C34" s="69" t="s">
        <v>24</v>
      </c>
      <c r="D34" s="92"/>
      <c r="E34" s="86"/>
      <c r="F34" s="86"/>
      <c r="G34" s="87">
        <v>21163000</v>
      </c>
      <c r="H34" s="88"/>
      <c r="I34" s="88"/>
      <c r="J34" s="89"/>
      <c r="K34" s="90"/>
      <c r="L34" s="86"/>
      <c r="M34" s="91"/>
      <c r="N34" s="91"/>
      <c r="O34" s="86"/>
      <c r="P34" s="91"/>
      <c r="Q34" s="91"/>
      <c r="R34" s="86"/>
      <c r="S34" s="91"/>
      <c r="T34" s="91"/>
      <c r="U34" s="92"/>
      <c r="V34" s="93" t="s">
        <v>28</v>
      </c>
      <c r="W34" s="93"/>
      <c r="X34" s="92"/>
      <c r="Y34" s="92" t="s">
        <v>13</v>
      </c>
      <c r="Z34" s="92"/>
      <c r="AA34" s="92"/>
      <c r="AB34" s="92"/>
      <c r="AC34" s="92"/>
      <c r="AD34" s="92"/>
      <c r="AE34" s="92" t="s">
        <v>12</v>
      </c>
      <c r="AF34" s="92"/>
      <c r="AG34" s="61" t="s">
        <v>36</v>
      </c>
    </row>
    <row r="35" spans="1:34" ht="19.149999999999999" hidden="1" customHeight="1" outlineLevel="1" x14ac:dyDescent="0.25">
      <c r="A35" s="69">
        <v>5</v>
      </c>
      <c r="B35" s="85"/>
      <c r="C35" s="69" t="s">
        <v>21</v>
      </c>
      <c r="D35" s="92"/>
      <c r="E35" s="86"/>
      <c r="F35" s="86"/>
      <c r="G35" s="87">
        <v>1490000</v>
      </c>
      <c r="H35" s="88"/>
      <c r="I35" s="88"/>
      <c r="J35" s="89"/>
      <c r="K35" s="90"/>
      <c r="L35" s="86"/>
      <c r="M35" s="91"/>
      <c r="N35" s="91"/>
      <c r="O35" s="86"/>
      <c r="P35" s="91"/>
      <c r="Q35" s="91"/>
      <c r="R35" s="86"/>
      <c r="S35" s="91"/>
      <c r="T35" s="91"/>
      <c r="U35" s="92"/>
      <c r="V35" s="92" t="s">
        <v>27</v>
      </c>
      <c r="W35" s="92"/>
      <c r="X35" s="92"/>
      <c r="Y35" s="92" t="s">
        <v>14</v>
      </c>
      <c r="Z35" s="92"/>
      <c r="AA35" s="92"/>
      <c r="AB35" s="92"/>
      <c r="AC35" s="92"/>
      <c r="AD35" s="92"/>
      <c r="AE35" s="92" t="s">
        <v>14</v>
      </c>
      <c r="AF35" s="92"/>
      <c r="AG35" s="60" t="s">
        <v>31</v>
      </c>
    </row>
    <row r="36" spans="1:34" ht="19.149999999999999" hidden="1" customHeight="1" outlineLevel="1" x14ac:dyDescent="0.25">
      <c r="A36" s="69">
        <v>6</v>
      </c>
      <c r="B36" s="85"/>
      <c r="C36" s="95" t="s">
        <v>7</v>
      </c>
      <c r="D36" s="101"/>
      <c r="E36" s="96"/>
      <c r="F36" s="96"/>
      <c r="G36" s="87">
        <v>317769000</v>
      </c>
      <c r="H36" s="97"/>
      <c r="I36" s="97"/>
      <c r="J36" s="98"/>
      <c r="K36" s="99"/>
      <c r="L36" s="96"/>
      <c r="M36" s="100"/>
      <c r="N36" s="100"/>
      <c r="O36" s="96"/>
      <c r="P36" s="100"/>
      <c r="Q36" s="100"/>
      <c r="R36" s="96"/>
      <c r="S36" s="100"/>
      <c r="T36" s="100"/>
      <c r="U36" s="101"/>
      <c r="V36" s="101"/>
      <c r="W36" s="101"/>
      <c r="X36" s="101"/>
      <c r="Y36" s="102"/>
      <c r="Z36" s="102"/>
      <c r="AA36" s="102"/>
      <c r="AB36" s="102"/>
      <c r="AC36" s="102"/>
      <c r="AD36" s="102"/>
      <c r="AE36" s="102"/>
      <c r="AF36" s="102"/>
      <c r="AG36" s="60" t="s">
        <v>18</v>
      </c>
    </row>
    <row r="37" spans="1:34" ht="19.149999999999999" hidden="1" customHeight="1" outlineLevel="1" x14ac:dyDescent="0.25">
      <c r="A37" s="69">
        <v>7</v>
      </c>
      <c r="B37" s="85"/>
      <c r="C37" s="69" t="s">
        <v>8</v>
      </c>
      <c r="D37" s="101"/>
      <c r="E37" s="96"/>
      <c r="F37" s="96"/>
      <c r="G37" s="87">
        <v>33380944</v>
      </c>
      <c r="H37" s="97"/>
      <c r="I37" s="97"/>
      <c r="J37" s="98"/>
      <c r="K37" s="99"/>
      <c r="L37" s="96"/>
      <c r="M37" s="100"/>
      <c r="N37" s="100"/>
      <c r="O37" s="96"/>
      <c r="P37" s="100"/>
      <c r="Q37" s="100"/>
      <c r="R37" s="96"/>
      <c r="S37" s="100"/>
      <c r="T37" s="100"/>
      <c r="U37" s="101"/>
      <c r="V37" s="101"/>
      <c r="W37" s="101"/>
      <c r="X37" s="101"/>
      <c r="Y37" s="102"/>
      <c r="Z37" s="102"/>
      <c r="AA37" s="102"/>
      <c r="AB37" s="102"/>
      <c r="AC37" s="102"/>
      <c r="AD37" s="102"/>
      <c r="AE37" s="102"/>
      <c r="AF37" s="102"/>
      <c r="AG37" s="60" t="s">
        <v>33</v>
      </c>
    </row>
    <row r="38" spans="1:34" ht="19.149999999999999" hidden="1" customHeight="1" outlineLevel="1" x14ac:dyDescent="0.25">
      <c r="A38" s="69">
        <v>8</v>
      </c>
      <c r="B38" s="85"/>
      <c r="C38" s="69" t="s">
        <v>20</v>
      </c>
      <c r="D38" s="92"/>
      <c r="E38" s="86"/>
      <c r="F38" s="86"/>
      <c r="G38" s="87">
        <v>8715000</v>
      </c>
      <c r="H38" s="88"/>
      <c r="I38" s="88"/>
      <c r="J38" s="89"/>
      <c r="K38" s="90"/>
      <c r="L38" s="86"/>
      <c r="M38" s="91"/>
      <c r="N38" s="91"/>
      <c r="O38" s="86"/>
      <c r="P38" s="91"/>
      <c r="Q38" s="91"/>
      <c r="R38" s="86"/>
      <c r="S38" s="91"/>
      <c r="T38" s="91"/>
      <c r="U38" s="92"/>
      <c r="V38" s="93" t="s">
        <v>26</v>
      </c>
      <c r="W38" s="93"/>
      <c r="X38" s="92"/>
      <c r="Y38" s="92" t="s">
        <v>15</v>
      </c>
      <c r="Z38" s="92"/>
      <c r="AA38" s="92"/>
      <c r="AB38" s="92"/>
      <c r="AC38" s="92"/>
      <c r="AD38" s="92"/>
      <c r="AE38" s="92" t="s">
        <v>18</v>
      </c>
      <c r="AF38" s="92"/>
      <c r="AG38" s="60" t="s">
        <v>34</v>
      </c>
    </row>
    <row r="39" spans="1:34" s="104" customFormat="1" ht="19.149999999999999" hidden="1" customHeight="1" outlineLevel="1" x14ac:dyDescent="0.25">
      <c r="A39" s="69">
        <v>9</v>
      </c>
      <c r="B39" s="85"/>
      <c r="C39" s="69" t="s">
        <v>30</v>
      </c>
      <c r="D39" s="92"/>
      <c r="E39" s="86"/>
      <c r="F39" s="86"/>
      <c r="G39" s="87">
        <v>46869000</v>
      </c>
      <c r="H39" s="88"/>
      <c r="I39" s="88"/>
      <c r="J39" s="89"/>
      <c r="K39" s="90"/>
      <c r="L39" s="86"/>
      <c r="M39" s="91"/>
      <c r="N39" s="91"/>
      <c r="O39" s="86"/>
      <c r="P39" s="91"/>
      <c r="Q39" s="91"/>
      <c r="R39" s="86"/>
      <c r="S39" s="91"/>
      <c r="T39" s="91"/>
      <c r="U39" s="92"/>
      <c r="V39" s="101"/>
      <c r="W39" s="101"/>
      <c r="X39" s="101"/>
      <c r="Y39" s="102"/>
      <c r="Z39" s="102"/>
      <c r="AA39" s="102"/>
      <c r="AB39" s="102"/>
      <c r="AC39" s="102"/>
      <c r="AD39" s="102"/>
      <c r="AE39" s="102"/>
      <c r="AF39" s="102"/>
      <c r="AG39" s="60" t="s">
        <v>35</v>
      </c>
      <c r="AH39" s="103"/>
    </row>
    <row r="40" spans="1:34" s="114" customFormat="1" ht="19.149999999999999" hidden="1" customHeight="1" collapsed="1" x14ac:dyDescent="0.25">
      <c r="A40" s="105"/>
      <c r="B40" s="85" t="s">
        <v>43</v>
      </c>
      <c r="C40" s="105"/>
      <c r="D40" s="112"/>
      <c r="E40" s="106"/>
      <c r="F40" s="106"/>
      <c r="G40" s="107" t="s">
        <v>42</v>
      </c>
      <c r="H40" s="108"/>
      <c r="I40" s="108"/>
      <c r="J40" s="109"/>
      <c r="K40" s="110"/>
      <c r="L40" s="106"/>
      <c r="M40" s="111"/>
      <c r="N40" s="111"/>
      <c r="O40" s="106"/>
      <c r="P40" s="111"/>
      <c r="Q40" s="111"/>
      <c r="R40" s="106"/>
      <c r="S40" s="111"/>
      <c r="T40" s="111"/>
      <c r="U40" s="112" t="s">
        <v>41</v>
      </c>
      <c r="V40" s="112" t="s">
        <v>40</v>
      </c>
      <c r="W40" s="112"/>
      <c r="X40" s="112" t="s">
        <v>41</v>
      </c>
      <c r="Y40" s="112" t="s">
        <v>39</v>
      </c>
      <c r="Z40" s="112"/>
      <c r="AA40" s="112"/>
      <c r="AB40" s="112"/>
      <c r="AC40" s="112"/>
      <c r="AD40" s="112" t="s">
        <v>41</v>
      </c>
      <c r="AE40" s="112"/>
      <c r="AF40" s="112"/>
      <c r="AG40" s="60" t="s">
        <v>38</v>
      </c>
      <c r="AH40" s="113"/>
    </row>
    <row r="41" spans="1:34" s="123" customFormat="1" hidden="1" x14ac:dyDescent="0.25">
      <c r="A41" s="115" t="s">
        <v>71</v>
      </c>
      <c r="B41" s="116" t="s">
        <v>44</v>
      </c>
      <c r="C41" s="117" t="s">
        <v>46</v>
      </c>
      <c r="D41" s="116"/>
      <c r="E41" s="115"/>
      <c r="F41" s="115"/>
      <c r="G41" s="118">
        <v>2350000</v>
      </c>
      <c r="H41" s="119">
        <v>2200000</v>
      </c>
      <c r="I41" s="119">
        <v>2000000</v>
      </c>
      <c r="J41" s="120"/>
      <c r="K41" s="121"/>
      <c r="L41" s="62">
        <f>IF(NOT(ISNUMBER(AG41)),"N/A",AG41-14)</f>
        <v>46022</v>
      </c>
      <c r="M41" s="62">
        <v>46024</v>
      </c>
      <c r="N41" s="62"/>
      <c r="O41" s="62">
        <f>IF(NOT(ISNUMBER(AG41)),"N/A",AG41-11)</f>
        <v>46025</v>
      </c>
      <c r="P41" s="62">
        <v>46024</v>
      </c>
      <c r="Q41" s="62"/>
      <c r="R41" s="62">
        <f>IF(NOT(ISNUMBER(AG41)),"N/A",AG41-9)</f>
        <v>46027</v>
      </c>
      <c r="S41" s="62">
        <v>46025</v>
      </c>
      <c r="T41" s="62"/>
      <c r="U41" s="62">
        <f>IF(NOT(ISNUMBER(AG41)),"N/A",AG41-8)</f>
        <v>46028</v>
      </c>
      <c r="V41" s="62">
        <v>46029</v>
      </c>
      <c r="W41" s="62"/>
      <c r="X41" s="62">
        <f>IF(NOT(ISNUMBER(AG41)),"N/A",AG41-7)</f>
        <v>46029</v>
      </c>
      <c r="Y41" s="62" t="s">
        <v>69</v>
      </c>
      <c r="Z41" s="62"/>
      <c r="AA41" s="62">
        <f>IF(NOT(ISNUMBER(AG41)),"N/A",AG41-6)</f>
        <v>46030</v>
      </c>
      <c r="AB41" s="62">
        <v>46031</v>
      </c>
      <c r="AC41" s="62"/>
      <c r="AD41" s="62">
        <f>IF(NOT(ISNUMBER(AG41)),"N/A",AG41-2)</f>
        <v>46034</v>
      </c>
      <c r="AE41" s="62">
        <v>46033</v>
      </c>
      <c r="AF41" s="62"/>
      <c r="AG41" s="62">
        <v>46036</v>
      </c>
      <c r="AH41" s="122"/>
    </row>
    <row r="42" spans="1:34" s="123" customFormat="1" hidden="1" x14ac:dyDescent="0.25">
      <c r="A42" s="115" t="s">
        <v>72</v>
      </c>
      <c r="B42" s="116" t="s">
        <v>45</v>
      </c>
      <c r="C42" s="117" t="s">
        <v>47</v>
      </c>
      <c r="D42" s="116"/>
      <c r="E42" s="115"/>
      <c r="F42" s="115"/>
      <c r="G42" s="118">
        <v>1490000</v>
      </c>
      <c r="H42" s="119">
        <v>1400000</v>
      </c>
      <c r="I42" s="119">
        <v>1100000</v>
      </c>
      <c r="J42" s="120"/>
      <c r="K42" s="121"/>
      <c r="L42" s="62">
        <f t="shared" ref="L42:L65" si="0">IF(NOT(ISNUMBER(AG42)),"N/A",AG42-14)</f>
        <v>46083</v>
      </c>
      <c r="M42" s="62">
        <v>46082</v>
      </c>
      <c r="N42" s="62"/>
      <c r="O42" s="62">
        <f t="shared" ref="O42:O65" si="1">IF(NOT(ISNUMBER(AG42)),"N/A",AG42-11)</f>
        <v>46086</v>
      </c>
      <c r="P42" s="62">
        <v>46087</v>
      </c>
      <c r="Q42" s="62"/>
      <c r="R42" s="62">
        <f t="shared" ref="R42:R65" si="2">IF(NOT(ISNUMBER(AG42)),"N/A",AG42-9)</f>
        <v>46088</v>
      </c>
      <c r="S42" s="62">
        <v>46089</v>
      </c>
      <c r="T42" s="62"/>
      <c r="U42" s="62">
        <f t="shared" ref="U42:U65" si="3">IF(NOT(ISNUMBER(AG42)),"N/A",AG42-8)</f>
        <v>46089</v>
      </c>
      <c r="V42" s="62">
        <v>46083</v>
      </c>
      <c r="W42" s="62"/>
      <c r="X42" s="62">
        <f t="shared" ref="X42:X65" si="4">IF(NOT(ISNUMBER(AG42)),"N/A",AG42-7)</f>
        <v>46090</v>
      </c>
      <c r="Y42" s="62">
        <v>46091</v>
      </c>
      <c r="Z42" s="62"/>
      <c r="AA42" s="62">
        <f t="shared" ref="AA42:AA65" si="5">IF(NOT(ISNUMBER(AG42)),"N/A",AG42-6)</f>
        <v>46091</v>
      </c>
      <c r="AB42" s="62">
        <v>46084</v>
      </c>
      <c r="AC42" s="62"/>
      <c r="AD42" s="62">
        <f>IF(NOT(ISNUMBER(AG42)),"N/A",AG42-2)</f>
        <v>46095</v>
      </c>
      <c r="AE42" s="62">
        <v>46101</v>
      </c>
      <c r="AF42" s="62"/>
      <c r="AG42" s="62">
        <v>46097</v>
      </c>
      <c r="AH42" s="122"/>
    </row>
    <row r="43" spans="1:34" s="171" customFormat="1" ht="36.75" customHeight="1" x14ac:dyDescent="0.25">
      <c r="A43" s="170">
        <v>1</v>
      </c>
      <c r="B43" s="142"/>
      <c r="C43" s="171" t="s">
        <v>131</v>
      </c>
      <c r="D43" s="142" t="s">
        <v>132</v>
      </c>
      <c r="E43" s="170" t="s">
        <v>134</v>
      </c>
      <c r="F43" s="170" t="s">
        <v>139</v>
      </c>
      <c r="G43" s="172">
        <v>52215000</v>
      </c>
      <c r="H43" s="173"/>
      <c r="I43" s="173"/>
      <c r="J43" s="174"/>
      <c r="K43" s="175" t="s">
        <v>156</v>
      </c>
      <c r="L43" s="176">
        <f t="shared" si="0"/>
        <v>46209</v>
      </c>
      <c r="M43" s="176"/>
      <c r="N43" s="176"/>
      <c r="O43" s="176">
        <f t="shared" si="1"/>
        <v>46212</v>
      </c>
      <c r="P43" s="176">
        <v>46196</v>
      </c>
      <c r="Q43" s="176"/>
      <c r="R43" s="176">
        <f t="shared" si="2"/>
        <v>46214</v>
      </c>
      <c r="S43" s="176"/>
      <c r="T43" s="176"/>
      <c r="U43" s="176">
        <f t="shared" si="3"/>
        <v>46215</v>
      </c>
      <c r="V43" s="176"/>
      <c r="W43" s="176"/>
      <c r="X43" s="176">
        <f t="shared" si="4"/>
        <v>46216</v>
      </c>
      <c r="Y43" s="176"/>
      <c r="Z43" s="176"/>
      <c r="AA43" s="176">
        <f t="shared" si="5"/>
        <v>46217</v>
      </c>
      <c r="AB43" s="176"/>
      <c r="AC43" s="176"/>
      <c r="AD43" s="176">
        <f t="shared" ref="AD43:AD65" si="6">IF(NOT(ISNUMBER(AG43)),"N/A",AG43-2)</f>
        <v>46221</v>
      </c>
      <c r="AE43" s="176"/>
      <c r="AF43" s="176"/>
      <c r="AG43" s="176">
        <v>46223</v>
      </c>
      <c r="AH43" s="177"/>
    </row>
    <row r="44" spans="1:34" s="177" customFormat="1" ht="36.75" customHeight="1" x14ac:dyDescent="0.25">
      <c r="A44" s="170">
        <v>3</v>
      </c>
      <c r="B44" s="142"/>
      <c r="C44" s="178" t="s">
        <v>135</v>
      </c>
      <c r="D44" s="142" t="s">
        <v>137</v>
      </c>
      <c r="E44" s="170" t="s">
        <v>136</v>
      </c>
      <c r="F44" s="178" t="s">
        <v>147</v>
      </c>
      <c r="G44" s="172"/>
      <c r="H44" s="173"/>
      <c r="I44" s="173">
        <f>11095780*1.05</f>
        <v>11650569</v>
      </c>
      <c r="J44" s="174"/>
      <c r="K44" s="175" t="s">
        <v>156</v>
      </c>
      <c r="L44" s="176">
        <f>IF(NOT(ISNUMBER(AG44)),"N/A",AG44-14)</f>
        <v>46192</v>
      </c>
      <c r="M44" s="176"/>
      <c r="N44" s="176"/>
      <c r="O44" s="176">
        <f>IF(NOT(ISNUMBER(AG44)),"N/A",AG44-11)</f>
        <v>46195</v>
      </c>
      <c r="P44" s="176"/>
      <c r="Q44" s="176"/>
      <c r="R44" s="176">
        <f>IF(NOT(ISNUMBER(AG44)),"N/A",AG44-9)</f>
        <v>46197</v>
      </c>
      <c r="S44" s="176"/>
      <c r="T44" s="176"/>
      <c r="U44" s="176">
        <f>IF(NOT(ISNUMBER(AG44)),"N/A",AG44-8)</f>
        <v>46198</v>
      </c>
      <c r="V44" s="176"/>
      <c r="W44" s="176"/>
      <c r="X44" s="176">
        <f>IF(NOT(ISNUMBER(AG44)),"N/A",AG44-7)</f>
        <v>46199</v>
      </c>
      <c r="Y44" s="176"/>
      <c r="Z44" s="176"/>
      <c r="AA44" s="176">
        <f>IF(NOT(ISNUMBER(AG44)),"N/A",AG44-6)</f>
        <v>46200</v>
      </c>
      <c r="AB44" s="176"/>
      <c r="AC44" s="176"/>
      <c r="AD44" s="176">
        <f>IF(NOT(ISNUMBER(AG44)),"N/A",AG44-2)</f>
        <v>46204</v>
      </c>
      <c r="AE44" s="176"/>
      <c r="AF44" s="176"/>
      <c r="AG44" s="176">
        <v>46206</v>
      </c>
    </row>
    <row r="45" spans="1:34" s="177" customFormat="1" ht="36" customHeight="1" x14ac:dyDescent="0.25">
      <c r="A45" s="170">
        <v>6</v>
      </c>
      <c r="B45" s="142"/>
      <c r="C45" s="178" t="s">
        <v>148</v>
      </c>
      <c r="D45" s="142" t="s">
        <v>132</v>
      </c>
      <c r="E45" s="170" t="s">
        <v>172</v>
      </c>
      <c r="F45" s="178" t="s">
        <v>173</v>
      </c>
      <c r="G45" s="172">
        <v>9612869200</v>
      </c>
      <c r="H45" s="173"/>
      <c r="I45" s="173"/>
      <c r="J45" s="174"/>
      <c r="K45" s="175" t="s">
        <v>167</v>
      </c>
      <c r="L45" s="176">
        <v>46202</v>
      </c>
      <c r="M45" s="176"/>
      <c r="N45" s="176"/>
      <c r="O45" s="176">
        <f>IF(NOT(ISNUMBER(AG45)),"N/A",AG45-11)</f>
        <v>46227</v>
      </c>
      <c r="P45" s="176"/>
      <c r="Q45" s="176"/>
      <c r="R45" s="176">
        <f>IF(NOT(ISNUMBER(AG45)),"N/A",AG45-9)</f>
        <v>46229</v>
      </c>
      <c r="S45" s="176"/>
      <c r="T45" s="176"/>
      <c r="U45" s="176">
        <f>IF(NOT(ISNUMBER(AG45)),"N/A",AG45-8)</f>
        <v>46230</v>
      </c>
      <c r="V45" s="176"/>
      <c r="W45" s="176"/>
      <c r="X45" s="176">
        <f>IF(NOT(ISNUMBER(AG45)),"N/A",AG45-7)</f>
        <v>46231</v>
      </c>
      <c r="Y45" s="176"/>
      <c r="Z45" s="176"/>
      <c r="AA45" s="176">
        <f>IF(NOT(ISNUMBER(AG45)),"N/A",AG45-6)</f>
        <v>46232</v>
      </c>
      <c r="AB45" s="176"/>
      <c r="AC45" s="176"/>
      <c r="AD45" s="176">
        <f>IF(NOT(ISNUMBER(AG45)),"N/A",AG45-2)</f>
        <v>46236</v>
      </c>
      <c r="AE45" s="176"/>
      <c r="AF45" s="176"/>
      <c r="AG45" s="176">
        <v>46238</v>
      </c>
    </row>
    <row r="46" spans="1:34" s="187" customFormat="1" ht="39" customHeight="1" x14ac:dyDescent="0.25">
      <c r="A46" s="179">
        <v>4</v>
      </c>
      <c r="B46" s="85"/>
      <c r="C46" s="180" t="s">
        <v>138</v>
      </c>
      <c r="D46" s="152" t="s">
        <v>132</v>
      </c>
      <c r="E46" s="179" t="s">
        <v>133</v>
      </c>
      <c r="F46" s="179" t="s">
        <v>180</v>
      </c>
      <c r="G46" s="181">
        <v>2479835800</v>
      </c>
      <c r="H46" s="182"/>
      <c r="I46" s="182"/>
      <c r="J46" s="183"/>
      <c r="K46" s="184" t="s">
        <v>190</v>
      </c>
      <c r="L46" s="185" t="str">
        <f t="shared" si="0"/>
        <v>N/A</v>
      </c>
      <c r="M46" s="185"/>
      <c r="N46" s="185"/>
      <c r="O46" s="185" t="str">
        <f t="shared" si="1"/>
        <v>N/A</v>
      </c>
      <c r="P46" s="185">
        <v>46199</v>
      </c>
      <c r="Q46" s="185"/>
      <c r="R46" s="185" t="str">
        <f t="shared" si="2"/>
        <v>N/A</v>
      </c>
      <c r="S46" s="185"/>
      <c r="T46" s="185"/>
      <c r="U46" s="185" t="str">
        <f t="shared" si="3"/>
        <v>N/A</v>
      </c>
      <c r="V46" s="185"/>
      <c r="W46" s="185"/>
      <c r="X46" s="185" t="str">
        <f t="shared" si="4"/>
        <v>N/A</v>
      </c>
      <c r="Y46" s="185"/>
      <c r="Z46" s="185"/>
      <c r="AA46" s="185" t="str">
        <f t="shared" si="5"/>
        <v>N/A</v>
      </c>
      <c r="AB46" s="185"/>
      <c r="AC46" s="185"/>
      <c r="AD46" s="185" t="str">
        <f t="shared" si="6"/>
        <v>N/A</v>
      </c>
      <c r="AE46" s="185"/>
      <c r="AF46" s="185"/>
      <c r="AG46" s="186"/>
    </row>
    <row r="47" spans="1:34" s="187" customFormat="1" ht="39" customHeight="1" x14ac:dyDescent="0.25">
      <c r="A47" s="179">
        <v>9</v>
      </c>
      <c r="B47" s="152"/>
      <c r="C47" s="180" t="s">
        <v>157</v>
      </c>
      <c r="D47" s="152" t="s">
        <v>132</v>
      </c>
      <c r="E47" s="179" t="s">
        <v>171</v>
      </c>
      <c r="F47" s="180" t="s">
        <v>175</v>
      </c>
      <c r="G47" s="188">
        <v>2405000000</v>
      </c>
      <c r="H47" s="189"/>
      <c r="I47" s="189"/>
      <c r="J47" s="190"/>
      <c r="K47" s="191" t="s">
        <v>190</v>
      </c>
      <c r="L47" s="192" t="str">
        <f>IF(NOT(ISNUMBER(AG47)),"N/A",AG47-14)</f>
        <v>N/A</v>
      </c>
      <c r="M47" s="192"/>
      <c r="N47" s="192"/>
      <c r="O47" s="192" t="str">
        <f>IF(NOT(ISNUMBER(AG47)),"N/A",AG47-11)</f>
        <v>N/A</v>
      </c>
      <c r="P47" s="192"/>
      <c r="Q47" s="192"/>
      <c r="R47" s="192" t="str">
        <f>IF(NOT(ISNUMBER(AG47)),"N/A",AG47-9)</f>
        <v>N/A</v>
      </c>
      <c r="S47" s="192"/>
      <c r="T47" s="192"/>
      <c r="U47" s="192" t="str">
        <f>IF(NOT(ISNUMBER(AG47)),"N/A",AG47-8)</f>
        <v>N/A</v>
      </c>
      <c r="V47" s="192"/>
      <c r="W47" s="192"/>
      <c r="X47" s="192" t="str">
        <f>IF(NOT(ISNUMBER(AG47)),"N/A",AG47-7)</f>
        <v>N/A</v>
      </c>
      <c r="Y47" s="192"/>
      <c r="Z47" s="192"/>
      <c r="AA47" s="192" t="str">
        <f>IF(NOT(ISNUMBER(AG47)),"N/A",AG47-6)</f>
        <v>N/A</v>
      </c>
      <c r="AB47" s="192"/>
      <c r="AC47" s="192"/>
      <c r="AD47" s="192" t="str">
        <f>IF(NOT(ISNUMBER(AG47)),"N/A",AG47-2)</f>
        <v>N/A</v>
      </c>
      <c r="AE47" s="192"/>
      <c r="AF47" s="192"/>
      <c r="AG47" s="186"/>
    </row>
    <row r="48" spans="1:34" s="187" customFormat="1" ht="39" customHeight="1" x14ac:dyDescent="0.25">
      <c r="A48" s="179">
        <v>5</v>
      </c>
      <c r="B48" s="85"/>
      <c r="C48" s="180" t="s">
        <v>170</v>
      </c>
      <c r="D48" s="152" t="s">
        <v>137</v>
      </c>
      <c r="E48" s="179" t="s">
        <v>145</v>
      </c>
      <c r="F48" s="179" t="s">
        <v>179</v>
      </c>
      <c r="G48" s="181">
        <v>35502300</v>
      </c>
      <c r="H48" s="182"/>
      <c r="I48" s="182"/>
      <c r="J48" s="183"/>
      <c r="K48" s="184" t="s">
        <v>158</v>
      </c>
      <c r="L48" s="185">
        <f t="shared" si="0"/>
        <v>46204</v>
      </c>
      <c r="M48" s="185">
        <v>46202</v>
      </c>
      <c r="N48" s="185"/>
      <c r="O48" s="185">
        <f t="shared" si="1"/>
        <v>46207</v>
      </c>
      <c r="P48" s="185">
        <v>46211</v>
      </c>
      <c r="Q48" s="185" t="s">
        <v>183</v>
      </c>
      <c r="R48" s="185">
        <f t="shared" si="2"/>
        <v>46209</v>
      </c>
      <c r="S48" s="185">
        <v>46211</v>
      </c>
      <c r="T48" s="193" t="s">
        <v>182</v>
      </c>
      <c r="U48" s="185">
        <f t="shared" si="3"/>
        <v>46210</v>
      </c>
      <c r="V48" s="185">
        <v>46211</v>
      </c>
      <c r="W48" s="185"/>
      <c r="X48" s="185">
        <f t="shared" si="4"/>
        <v>46211</v>
      </c>
      <c r="Y48" s="185">
        <v>46213</v>
      </c>
      <c r="Z48" s="185"/>
      <c r="AA48" s="185">
        <f t="shared" si="5"/>
        <v>46212</v>
      </c>
      <c r="AB48" s="185"/>
      <c r="AC48" s="185" t="s">
        <v>184</v>
      </c>
      <c r="AD48" s="185">
        <f t="shared" si="6"/>
        <v>46216</v>
      </c>
      <c r="AE48" s="185">
        <v>46217</v>
      </c>
      <c r="AF48" s="185"/>
      <c r="AG48" s="186">
        <v>46218</v>
      </c>
      <c r="AH48" s="187" t="s">
        <v>146</v>
      </c>
    </row>
    <row r="49" spans="1:33" s="187" customFormat="1" ht="42.75" customHeight="1" x14ac:dyDescent="0.25">
      <c r="A49" s="179">
        <v>7</v>
      </c>
      <c r="B49" s="85"/>
      <c r="C49" s="180" t="s">
        <v>151</v>
      </c>
      <c r="D49" s="152" t="s">
        <v>137</v>
      </c>
      <c r="E49" s="179" t="s">
        <v>150</v>
      </c>
      <c r="F49" s="180" t="s">
        <v>174</v>
      </c>
      <c r="G49" s="181">
        <v>10206600</v>
      </c>
      <c r="H49" s="182"/>
      <c r="I49" s="182"/>
      <c r="J49" s="183"/>
      <c r="K49" s="184" t="s">
        <v>158</v>
      </c>
      <c r="L49" s="185">
        <f t="shared" si="0"/>
        <v>46192</v>
      </c>
      <c r="M49" s="185">
        <v>46198</v>
      </c>
      <c r="N49" s="193" t="s">
        <v>191</v>
      </c>
      <c r="O49" s="185">
        <f t="shared" si="1"/>
        <v>46195</v>
      </c>
      <c r="P49" s="185" t="s">
        <v>187</v>
      </c>
      <c r="Q49" s="185"/>
      <c r="R49" s="185">
        <f t="shared" si="2"/>
        <v>46197</v>
      </c>
      <c r="S49" s="185">
        <v>46202</v>
      </c>
      <c r="T49" s="185"/>
      <c r="U49" s="185">
        <f t="shared" si="3"/>
        <v>46198</v>
      </c>
      <c r="V49" s="185">
        <v>46204</v>
      </c>
      <c r="W49" s="185" t="s">
        <v>149</v>
      </c>
      <c r="X49" s="185">
        <f t="shared" si="4"/>
        <v>46199</v>
      </c>
      <c r="Y49" s="185">
        <v>46205</v>
      </c>
      <c r="Z49" s="185"/>
      <c r="AA49" s="185">
        <f t="shared" si="5"/>
        <v>46200</v>
      </c>
      <c r="AB49" s="185"/>
      <c r="AC49" s="193" t="s">
        <v>185</v>
      </c>
      <c r="AD49" s="185">
        <f t="shared" si="6"/>
        <v>46204</v>
      </c>
      <c r="AE49" s="185">
        <v>46206</v>
      </c>
      <c r="AF49" s="185"/>
      <c r="AG49" s="186">
        <v>46206</v>
      </c>
    </row>
    <row r="50" spans="1:33" s="187" customFormat="1" ht="39" customHeight="1" x14ac:dyDescent="0.25">
      <c r="A50" s="179">
        <v>11</v>
      </c>
      <c r="B50" s="85"/>
      <c r="C50" s="180" t="s">
        <v>162</v>
      </c>
      <c r="D50" s="152" t="s">
        <v>132</v>
      </c>
      <c r="E50" s="179" t="s">
        <v>163</v>
      </c>
      <c r="F50" s="179" t="s">
        <v>178</v>
      </c>
      <c r="G50" s="181">
        <v>250000000</v>
      </c>
      <c r="H50" s="182"/>
      <c r="I50" s="182"/>
      <c r="J50" s="183"/>
      <c r="K50" s="184" t="s">
        <v>158</v>
      </c>
      <c r="L50" s="185">
        <f>IF(NOT(ISNUMBER(AG50)),"N/A",AG50-14)</f>
        <v>46244</v>
      </c>
      <c r="M50" s="185">
        <v>46222</v>
      </c>
      <c r="N50" s="185"/>
      <c r="O50" s="185">
        <f>IF(NOT(ISNUMBER(AG50)),"N/A",AG50-11)</f>
        <v>46247</v>
      </c>
      <c r="P50" s="185">
        <v>46230</v>
      </c>
      <c r="Q50" s="185"/>
      <c r="R50" s="185">
        <f>IF(NOT(ISNUMBER(AG50)),"N/A",AG50-9)</f>
        <v>46249</v>
      </c>
      <c r="S50" s="185">
        <v>46240</v>
      </c>
      <c r="T50" s="185"/>
      <c r="U50" s="185">
        <f>IF(NOT(ISNUMBER(AG50)),"N/A",AG50-8)</f>
        <v>46250</v>
      </c>
      <c r="V50" s="185">
        <v>46241</v>
      </c>
      <c r="W50" s="185"/>
      <c r="X50" s="185">
        <f>IF(NOT(ISNUMBER(AG50)),"N/A",AG50-7)</f>
        <v>46251</v>
      </c>
      <c r="Y50" s="185">
        <v>46247</v>
      </c>
      <c r="Z50" s="185"/>
      <c r="AA50" s="185">
        <f>IF(NOT(ISNUMBER(AG50)),"N/A",AG50-6)</f>
        <v>46252</v>
      </c>
      <c r="AB50" s="185"/>
      <c r="AC50" s="185"/>
      <c r="AD50" s="185">
        <f>IF(NOT(ISNUMBER(AG50)),"N/A",AG50-2)</f>
        <v>46256</v>
      </c>
      <c r="AE50" s="185"/>
      <c r="AF50" s="185"/>
      <c r="AG50" s="186">
        <v>46258</v>
      </c>
    </row>
    <row r="51" spans="1:33" s="187" customFormat="1" ht="39" customHeight="1" x14ac:dyDescent="0.25">
      <c r="A51" s="179">
        <v>12</v>
      </c>
      <c r="B51" s="85"/>
      <c r="C51" s="180" t="s">
        <v>164</v>
      </c>
      <c r="D51" s="152" t="s">
        <v>153</v>
      </c>
      <c r="E51" s="179" t="s">
        <v>165</v>
      </c>
      <c r="F51" s="180" t="s">
        <v>177</v>
      </c>
      <c r="G51" s="181">
        <v>130655259</v>
      </c>
      <c r="H51" s="182"/>
      <c r="I51" s="182"/>
      <c r="J51" s="183"/>
      <c r="K51" s="184" t="s">
        <v>158</v>
      </c>
      <c r="L51" s="185">
        <f>IF(NOT(ISNUMBER(AG51)),"N/A",AG51-14)</f>
        <v>46245</v>
      </c>
      <c r="M51" s="185"/>
      <c r="N51" s="185"/>
      <c r="O51" s="185">
        <f>IF(NOT(ISNUMBER(AG51)),"N/A",AG51-11)</f>
        <v>46248</v>
      </c>
      <c r="P51" s="185"/>
      <c r="Q51" s="185"/>
      <c r="R51" s="185">
        <f>IF(NOT(ISNUMBER(AG51)),"N/A",AG51-9)</f>
        <v>46250</v>
      </c>
      <c r="S51" s="185"/>
      <c r="T51" s="185"/>
      <c r="U51" s="185">
        <f>IF(NOT(ISNUMBER(AG51)),"N/A",AG51-8)</f>
        <v>46251</v>
      </c>
      <c r="V51" s="185"/>
      <c r="W51" s="185"/>
      <c r="X51" s="185">
        <f>IF(NOT(ISNUMBER(AG51)),"N/A",AG51-7)</f>
        <v>46252</v>
      </c>
      <c r="Y51" s="185"/>
      <c r="Z51" s="185"/>
      <c r="AA51" s="185">
        <f>IF(NOT(ISNUMBER(AG51)),"N/A",AG51-6)</f>
        <v>46253</v>
      </c>
      <c r="AB51" s="185"/>
      <c r="AC51" s="185"/>
      <c r="AD51" s="185">
        <f>IF(NOT(ISNUMBER(AG51)),"N/A",AG51-2)</f>
        <v>46257</v>
      </c>
      <c r="AE51" s="185"/>
      <c r="AF51" s="185"/>
      <c r="AG51" s="186">
        <v>46259</v>
      </c>
    </row>
    <row r="52" spans="1:33" s="187" customFormat="1" ht="38.25" customHeight="1" x14ac:dyDescent="0.25">
      <c r="A52" s="179">
        <v>8</v>
      </c>
      <c r="B52" s="85"/>
      <c r="C52" s="180" t="s">
        <v>152</v>
      </c>
      <c r="D52" s="152" t="s">
        <v>153</v>
      </c>
      <c r="E52" s="179" t="s">
        <v>154</v>
      </c>
      <c r="F52" s="179" t="s">
        <v>181</v>
      </c>
      <c r="G52" s="181">
        <v>41462300</v>
      </c>
      <c r="H52" s="182"/>
      <c r="I52" s="182"/>
      <c r="J52" s="183"/>
      <c r="K52" s="184" t="s">
        <v>168</v>
      </c>
      <c r="L52" s="185" t="str">
        <f>IF(NOT(ISNUMBER(AG52)),"N/A",AG52-14)</f>
        <v>N/A</v>
      </c>
      <c r="M52" s="185"/>
      <c r="N52" s="185"/>
      <c r="O52" s="185" t="str">
        <f>IF(NOT(ISNUMBER(AG52)),"N/A",AG52-11)</f>
        <v>N/A</v>
      </c>
      <c r="P52" s="185">
        <v>46210</v>
      </c>
      <c r="Q52" s="185"/>
      <c r="R52" s="185" t="str">
        <f>IF(NOT(ISNUMBER(AG52)),"N/A",AG52-9)</f>
        <v>N/A</v>
      </c>
      <c r="S52" s="185"/>
      <c r="T52" s="185"/>
      <c r="U52" s="185" t="str">
        <f>IF(NOT(ISNUMBER(AG52)),"N/A",AG52-8)</f>
        <v>N/A</v>
      </c>
      <c r="V52" s="185"/>
      <c r="W52" s="185"/>
      <c r="X52" s="185" t="str">
        <f>IF(NOT(ISNUMBER(AG52)),"N/A",AG52-7)</f>
        <v>N/A</v>
      </c>
      <c r="Y52" s="185"/>
      <c r="Z52" s="185"/>
      <c r="AA52" s="185" t="str">
        <f>IF(NOT(ISNUMBER(AG52)),"N/A",AG52-6)</f>
        <v>N/A</v>
      </c>
      <c r="AB52" s="185"/>
      <c r="AC52" s="185"/>
      <c r="AD52" s="185" t="str">
        <f>IF(NOT(ISNUMBER(AG52)),"N/A",AG52-2)</f>
        <v>N/A</v>
      </c>
      <c r="AE52" s="185"/>
      <c r="AF52" s="185"/>
      <c r="AG52" s="186"/>
    </row>
    <row r="53" spans="1:33" s="187" customFormat="1" ht="38.25" customHeight="1" x14ac:dyDescent="0.25">
      <c r="A53" s="179">
        <v>10</v>
      </c>
      <c r="B53" s="85"/>
      <c r="C53" s="180" t="s">
        <v>159</v>
      </c>
      <c r="D53" s="152" t="s">
        <v>160</v>
      </c>
      <c r="E53" s="179" t="s">
        <v>161</v>
      </c>
      <c r="F53" s="180" t="s">
        <v>192</v>
      </c>
      <c r="G53" s="181">
        <v>35000000</v>
      </c>
      <c r="H53" s="182"/>
      <c r="I53" s="182"/>
      <c r="J53" s="183"/>
      <c r="K53" s="184" t="s">
        <v>168</v>
      </c>
      <c r="L53" s="185" t="str">
        <f>IF(NOT(ISNUMBER(AG53)),"N/A",AG53-14)</f>
        <v>N/A</v>
      </c>
      <c r="M53" s="185"/>
      <c r="N53" s="185"/>
      <c r="O53" s="185" t="str">
        <f>IF(NOT(ISNUMBER(AG53)),"N/A",AG53-11)</f>
        <v>N/A</v>
      </c>
      <c r="P53" s="192">
        <v>46218</v>
      </c>
      <c r="Q53" s="185"/>
      <c r="R53" s="185" t="str">
        <f>IF(NOT(ISNUMBER(AG53)),"N/A",AG53-9)</f>
        <v>N/A</v>
      </c>
      <c r="S53" s="185"/>
      <c r="T53" s="185"/>
      <c r="U53" s="185" t="str">
        <f>IF(NOT(ISNUMBER(AG53)),"N/A",AG53-8)</f>
        <v>N/A</v>
      </c>
      <c r="V53" s="185"/>
      <c r="W53" s="185"/>
      <c r="X53" s="185" t="str">
        <f>IF(NOT(ISNUMBER(AG53)),"N/A",AG53-7)</f>
        <v>N/A</v>
      </c>
      <c r="Y53" s="185"/>
      <c r="Z53" s="185"/>
      <c r="AA53" s="185" t="str">
        <f>IF(NOT(ISNUMBER(AG53)),"N/A",AG53-6)</f>
        <v>N/A</v>
      </c>
      <c r="AB53" s="185"/>
      <c r="AC53" s="185"/>
      <c r="AD53" s="185" t="str">
        <f>IF(NOT(ISNUMBER(AG53)),"N/A",AG53-2)</f>
        <v>N/A</v>
      </c>
      <c r="AE53" s="185"/>
      <c r="AF53" s="185"/>
      <c r="AG53" s="186"/>
    </row>
    <row r="54" spans="1:33" s="187" customFormat="1" ht="39.75" customHeight="1" x14ac:dyDescent="0.25">
      <c r="A54" s="179">
        <v>13</v>
      </c>
      <c r="B54" s="85"/>
      <c r="C54" s="180" t="s">
        <v>166</v>
      </c>
      <c r="D54" s="152" t="s">
        <v>132</v>
      </c>
      <c r="E54" s="179" t="s">
        <v>163</v>
      </c>
      <c r="F54" s="180" t="s">
        <v>189</v>
      </c>
      <c r="G54" s="181">
        <v>287580000</v>
      </c>
      <c r="H54" s="182"/>
      <c r="I54" s="182"/>
      <c r="J54" s="183"/>
      <c r="K54" s="184" t="s">
        <v>169</v>
      </c>
      <c r="L54" s="185" t="str">
        <f>IF(NOT(ISNUMBER(AG54)),"N/A",AG54-14)</f>
        <v>N/A</v>
      </c>
      <c r="M54" s="185"/>
      <c r="N54" s="185"/>
      <c r="O54" s="185" t="str">
        <f>IF(NOT(ISNUMBER(AG54)),"N/A",AG54-11)</f>
        <v>N/A</v>
      </c>
      <c r="P54" s="185"/>
      <c r="Q54" s="185"/>
      <c r="R54" s="185" t="str">
        <f>IF(NOT(ISNUMBER(AG54)),"N/A",AG54-9)</f>
        <v>N/A</v>
      </c>
      <c r="S54" s="185"/>
      <c r="T54" s="185"/>
      <c r="U54" s="185" t="str">
        <f>IF(NOT(ISNUMBER(AG54)),"N/A",AG54-8)</f>
        <v>N/A</v>
      </c>
      <c r="V54" s="185"/>
      <c r="W54" s="185"/>
      <c r="X54" s="185" t="str">
        <f>IF(NOT(ISNUMBER(AG54)),"N/A",AG54-7)</f>
        <v>N/A</v>
      </c>
      <c r="Y54" s="185"/>
      <c r="Z54" s="185"/>
      <c r="AA54" s="185" t="str">
        <f>IF(NOT(ISNUMBER(AG54)),"N/A",AG54-6)</f>
        <v>N/A</v>
      </c>
      <c r="AB54" s="185"/>
      <c r="AC54" s="185"/>
      <c r="AD54" s="185" t="str">
        <f>IF(NOT(ISNUMBER(AG54)),"N/A",AG54-2)</f>
        <v>N/A</v>
      </c>
      <c r="AE54" s="185"/>
      <c r="AF54" s="185"/>
      <c r="AG54" s="186"/>
    </row>
    <row r="55" spans="1:33" s="94" customFormat="1" x14ac:dyDescent="0.25">
      <c r="A55" s="69">
        <v>14</v>
      </c>
      <c r="B55" s="85"/>
      <c r="C55" s="65"/>
      <c r="D55" s="92"/>
      <c r="E55" s="69"/>
      <c r="F55" s="69"/>
      <c r="G55" s="87"/>
      <c r="H55" s="124"/>
      <c r="I55" s="124"/>
      <c r="J55" s="125"/>
      <c r="K55" s="128"/>
      <c r="L55" s="127" t="str">
        <f t="shared" si="0"/>
        <v>N/A</v>
      </c>
      <c r="M55" s="127"/>
      <c r="N55" s="127"/>
      <c r="O55" s="127" t="str">
        <f t="shared" si="1"/>
        <v>N/A</v>
      </c>
      <c r="P55" s="127"/>
      <c r="Q55" s="127"/>
      <c r="R55" s="127" t="str">
        <f t="shared" si="2"/>
        <v>N/A</v>
      </c>
      <c r="S55" s="127"/>
      <c r="T55" s="127"/>
      <c r="U55" s="127" t="str">
        <f t="shared" si="3"/>
        <v>N/A</v>
      </c>
      <c r="V55" s="127"/>
      <c r="W55" s="127"/>
      <c r="X55" s="127" t="str">
        <f t="shared" si="4"/>
        <v>N/A</v>
      </c>
      <c r="Y55" s="127"/>
      <c r="Z55" s="127"/>
      <c r="AA55" s="127" t="str">
        <f t="shared" si="5"/>
        <v>N/A</v>
      </c>
      <c r="AB55" s="127"/>
      <c r="AC55" s="127"/>
      <c r="AD55" s="127" t="str">
        <f t="shared" si="6"/>
        <v>N/A</v>
      </c>
      <c r="AE55" s="127"/>
      <c r="AF55" s="127"/>
      <c r="AG55" s="63"/>
    </row>
    <row r="56" spans="1:33" s="94" customFormat="1" x14ac:dyDescent="0.25">
      <c r="A56" s="69">
        <v>15</v>
      </c>
      <c r="B56" s="85"/>
      <c r="C56" s="65"/>
      <c r="D56" s="92"/>
      <c r="E56" s="69"/>
      <c r="F56" s="69"/>
      <c r="G56" s="87"/>
      <c r="H56" s="124"/>
      <c r="I56" s="124"/>
      <c r="J56" s="125"/>
      <c r="K56" s="128"/>
      <c r="L56" s="127" t="str">
        <f t="shared" si="0"/>
        <v>N/A</v>
      </c>
      <c r="M56" s="127"/>
      <c r="N56" s="127"/>
      <c r="O56" s="127" t="str">
        <f t="shared" si="1"/>
        <v>N/A</v>
      </c>
      <c r="P56" s="127"/>
      <c r="Q56" s="127"/>
      <c r="R56" s="127" t="str">
        <f t="shared" si="2"/>
        <v>N/A</v>
      </c>
      <c r="S56" s="127"/>
      <c r="T56" s="127"/>
      <c r="U56" s="127" t="str">
        <f t="shared" si="3"/>
        <v>N/A</v>
      </c>
      <c r="V56" s="127"/>
      <c r="W56" s="127"/>
      <c r="X56" s="127" t="str">
        <f t="shared" si="4"/>
        <v>N/A</v>
      </c>
      <c r="Y56" s="127"/>
      <c r="Z56" s="127"/>
      <c r="AA56" s="127" t="str">
        <f t="shared" si="5"/>
        <v>N/A</v>
      </c>
      <c r="AB56" s="127"/>
      <c r="AC56" s="127"/>
      <c r="AD56" s="127" t="str">
        <f t="shared" si="6"/>
        <v>N/A</v>
      </c>
      <c r="AE56" s="127"/>
      <c r="AF56" s="127"/>
      <c r="AG56" s="63"/>
    </row>
    <row r="57" spans="1:33" s="94" customFormat="1" x14ac:dyDescent="0.25">
      <c r="A57" s="69">
        <v>16</v>
      </c>
      <c r="B57" s="85"/>
      <c r="C57" s="65"/>
      <c r="D57" s="92"/>
      <c r="E57" s="69"/>
      <c r="F57" s="69"/>
      <c r="G57" s="87"/>
      <c r="H57" s="124"/>
      <c r="I57" s="124"/>
      <c r="J57" s="125"/>
      <c r="K57" s="128"/>
      <c r="L57" s="127" t="str">
        <f t="shared" si="0"/>
        <v>N/A</v>
      </c>
      <c r="M57" s="127"/>
      <c r="N57" s="127"/>
      <c r="O57" s="127" t="str">
        <f t="shared" si="1"/>
        <v>N/A</v>
      </c>
      <c r="P57" s="127"/>
      <c r="Q57" s="127"/>
      <c r="R57" s="127" t="str">
        <f t="shared" si="2"/>
        <v>N/A</v>
      </c>
      <c r="S57" s="127"/>
      <c r="T57" s="127"/>
      <c r="U57" s="127" t="str">
        <f t="shared" si="3"/>
        <v>N/A</v>
      </c>
      <c r="V57" s="127"/>
      <c r="W57" s="127"/>
      <c r="X57" s="127" t="str">
        <f t="shared" si="4"/>
        <v>N/A</v>
      </c>
      <c r="Y57" s="127"/>
      <c r="Z57" s="127"/>
      <c r="AA57" s="127" t="str">
        <f t="shared" si="5"/>
        <v>N/A</v>
      </c>
      <c r="AB57" s="127"/>
      <c r="AC57" s="127"/>
      <c r="AD57" s="127" t="str">
        <f t="shared" si="6"/>
        <v>N/A</v>
      </c>
      <c r="AE57" s="127"/>
      <c r="AF57" s="127"/>
      <c r="AG57" s="63"/>
    </row>
    <row r="58" spans="1:33" s="94" customFormat="1" x14ac:dyDescent="0.25">
      <c r="A58" s="69">
        <v>17</v>
      </c>
      <c r="B58" s="85"/>
      <c r="D58" s="92"/>
      <c r="E58" s="69"/>
      <c r="F58" s="69"/>
      <c r="G58" s="87"/>
      <c r="H58" s="124"/>
      <c r="I58" s="124"/>
      <c r="J58" s="125"/>
      <c r="K58" s="128"/>
      <c r="L58" s="127" t="str">
        <f t="shared" si="0"/>
        <v>N/A</v>
      </c>
      <c r="M58" s="127"/>
      <c r="N58" s="127"/>
      <c r="O58" s="127" t="str">
        <f t="shared" si="1"/>
        <v>N/A</v>
      </c>
      <c r="P58" s="127"/>
      <c r="Q58" s="127"/>
      <c r="R58" s="127" t="str">
        <f t="shared" si="2"/>
        <v>N/A</v>
      </c>
      <c r="S58" s="127"/>
      <c r="T58" s="127"/>
      <c r="U58" s="127" t="str">
        <f t="shared" si="3"/>
        <v>N/A</v>
      </c>
      <c r="V58" s="127"/>
      <c r="W58" s="127"/>
      <c r="X58" s="127" t="str">
        <f t="shared" si="4"/>
        <v>N/A</v>
      </c>
      <c r="Y58" s="127"/>
      <c r="Z58" s="127"/>
      <c r="AA58" s="127" t="str">
        <f t="shared" si="5"/>
        <v>N/A</v>
      </c>
      <c r="AB58" s="127"/>
      <c r="AC58" s="127"/>
      <c r="AD58" s="127" t="str">
        <f t="shared" si="6"/>
        <v>N/A</v>
      </c>
      <c r="AE58" s="127"/>
      <c r="AF58" s="127"/>
      <c r="AG58" s="63"/>
    </row>
    <row r="59" spans="1:33" s="94" customFormat="1" x14ac:dyDescent="0.25">
      <c r="A59" s="69">
        <v>18</v>
      </c>
      <c r="B59" s="85"/>
      <c r="C59" s="65"/>
      <c r="D59" s="92"/>
      <c r="E59" s="69"/>
      <c r="F59" s="69"/>
      <c r="G59" s="87"/>
      <c r="H59" s="124"/>
      <c r="I59" s="124"/>
      <c r="J59" s="125"/>
      <c r="K59" s="128"/>
      <c r="L59" s="127" t="str">
        <f t="shared" si="0"/>
        <v>N/A</v>
      </c>
      <c r="M59" s="127"/>
      <c r="N59" s="127"/>
      <c r="O59" s="127" t="str">
        <f t="shared" si="1"/>
        <v>N/A</v>
      </c>
      <c r="P59" s="127"/>
      <c r="Q59" s="127"/>
      <c r="R59" s="127" t="str">
        <f t="shared" si="2"/>
        <v>N/A</v>
      </c>
      <c r="S59" s="127"/>
      <c r="T59" s="127"/>
      <c r="U59" s="127" t="str">
        <f t="shared" si="3"/>
        <v>N/A</v>
      </c>
      <c r="V59" s="127"/>
      <c r="W59" s="127"/>
      <c r="X59" s="127" t="str">
        <f t="shared" si="4"/>
        <v>N/A</v>
      </c>
      <c r="Y59" s="127"/>
      <c r="Z59" s="127"/>
      <c r="AA59" s="127" t="str">
        <f t="shared" si="5"/>
        <v>N/A</v>
      </c>
      <c r="AB59" s="127"/>
      <c r="AC59" s="127"/>
      <c r="AD59" s="127" t="str">
        <f t="shared" si="6"/>
        <v>N/A</v>
      </c>
      <c r="AE59" s="127"/>
      <c r="AF59" s="127"/>
      <c r="AG59" s="63"/>
    </row>
    <row r="60" spans="1:33" s="94" customFormat="1" x14ac:dyDescent="0.25">
      <c r="A60" s="69">
        <v>19</v>
      </c>
      <c r="B60" s="85"/>
      <c r="C60" s="65"/>
      <c r="D60" s="92"/>
      <c r="E60" s="69"/>
      <c r="F60" s="69"/>
      <c r="G60" s="87"/>
      <c r="H60" s="124"/>
      <c r="I60" s="124"/>
      <c r="J60" s="125"/>
      <c r="K60" s="128"/>
      <c r="L60" s="127" t="str">
        <f t="shared" si="0"/>
        <v>N/A</v>
      </c>
      <c r="M60" s="127"/>
      <c r="N60" s="127"/>
      <c r="O60" s="127" t="str">
        <f t="shared" si="1"/>
        <v>N/A</v>
      </c>
      <c r="P60" s="127"/>
      <c r="Q60" s="127"/>
      <c r="R60" s="127" t="str">
        <f t="shared" si="2"/>
        <v>N/A</v>
      </c>
      <c r="S60" s="127"/>
      <c r="T60" s="127"/>
      <c r="U60" s="127" t="str">
        <f t="shared" si="3"/>
        <v>N/A</v>
      </c>
      <c r="V60" s="127"/>
      <c r="W60" s="127"/>
      <c r="X60" s="127" t="str">
        <f t="shared" si="4"/>
        <v>N/A</v>
      </c>
      <c r="Y60" s="127"/>
      <c r="Z60" s="127"/>
      <c r="AA60" s="127" t="str">
        <f t="shared" si="5"/>
        <v>N/A</v>
      </c>
      <c r="AB60" s="127"/>
      <c r="AC60" s="127"/>
      <c r="AD60" s="127" t="str">
        <f t="shared" si="6"/>
        <v>N/A</v>
      </c>
      <c r="AE60" s="127"/>
      <c r="AF60" s="127"/>
      <c r="AG60" s="63"/>
    </row>
    <row r="61" spans="1:33" s="94" customFormat="1" x14ac:dyDescent="0.25">
      <c r="A61" s="69">
        <v>20</v>
      </c>
      <c r="B61" s="85"/>
      <c r="C61" s="65"/>
      <c r="D61" s="92"/>
      <c r="E61" s="69"/>
      <c r="F61" s="69"/>
      <c r="G61" s="87"/>
      <c r="H61" s="124"/>
      <c r="I61" s="124"/>
      <c r="J61" s="125"/>
      <c r="K61" s="128"/>
      <c r="L61" s="127" t="str">
        <f t="shared" si="0"/>
        <v>N/A</v>
      </c>
      <c r="M61" s="127"/>
      <c r="N61" s="127"/>
      <c r="O61" s="127" t="str">
        <f t="shared" si="1"/>
        <v>N/A</v>
      </c>
      <c r="P61" s="127"/>
      <c r="Q61" s="127"/>
      <c r="R61" s="127" t="str">
        <f t="shared" si="2"/>
        <v>N/A</v>
      </c>
      <c r="S61" s="127"/>
      <c r="T61" s="127"/>
      <c r="U61" s="127" t="str">
        <f t="shared" si="3"/>
        <v>N/A</v>
      </c>
      <c r="V61" s="127"/>
      <c r="W61" s="127"/>
      <c r="X61" s="127" t="str">
        <f t="shared" si="4"/>
        <v>N/A</v>
      </c>
      <c r="Y61" s="127"/>
      <c r="Z61" s="127"/>
      <c r="AA61" s="127" t="str">
        <f t="shared" si="5"/>
        <v>N/A</v>
      </c>
      <c r="AB61" s="127"/>
      <c r="AC61" s="127"/>
      <c r="AD61" s="127" t="str">
        <f t="shared" si="6"/>
        <v>N/A</v>
      </c>
      <c r="AE61" s="127"/>
      <c r="AF61" s="127"/>
      <c r="AG61" s="63"/>
    </row>
    <row r="62" spans="1:33" s="94" customFormat="1" x14ac:dyDescent="0.25">
      <c r="A62" s="69">
        <v>21</v>
      </c>
      <c r="B62" s="85"/>
      <c r="C62" s="65"/>
      <c r="D62" s="92"/>
      <c r="E62" s="69"/>
      <c r="F62" s="69"/>
      <c r="G62" s="87"/>
      <c r="H62" s="124"/>
      <c r="I62" s="124"/>
      <c r="J62" s="125"/>
      <c r="K62" s="128"/>
      <c r="L62" s="127" t="str">
        <f t="shared" si="0"/>
        <v>N/A</v>
      </c>
      <c r="M62" s="127"/>
      <c r="N62" s="127"/>
      <c r="O62" s="127" t="str">
        <f t="shared" si="1"/>
        <v>N/A</v>
      </c>
      <c r="P62" s="127"/>
      <c r="Q62" s="127"/>
      <c r="R62" s="127" t="str">
        <f t="shared" si="2"/>
        <v>N/A</v>
      </c>
      <c r="S62" s="127"/>
      <c r="T62" s="127"/>
      <c r="U62" s="127" t="str">
        <f t="shared" si="3"/>
        <v>N/A</v>
      </c>
      <c r="V62" s="127"/>
      <c r="W62" s="127"/>
      <c r="X62" s="127" t="str">
        <f t="shared" si="4"/>
        <v>N/A</v>
      </c>
      <c r="Y62" s="127"/>
      <c r="Z62" s="127"/>
      <c r="AA62" s="127" t="str">
        <f t="shared" si="5"/>
        <v>N/A</v>
      </c>
      <c r="AB62" s="127"/>
      <c r="AC62" s="127"/>
      <c r="AD62" s="127" t="str">
        <f t="shared" si="6"/>
        <v>N/A</v>
      </c>
      <c r="AE62" s="127"/>
      <c r="AF62" s="127"/>
      <c r="AG62" s="63"/>
    </row>
    <row r="63" spans="1:33" s="94" customFormat="1" x14ac:dyDescent="0.25">
      <c r="A63" s="69">
        <v>22</v>
      </c>
      <c r="B63" s="85"/>
      <c r="C63" s="65"/>
      <c r="D63" s="92"/>
      <c r="E63" s="69"/>
      <c r="F63" s="69"/>
      <c r="G63" s="87"/>
      <c r="H63" s="124"/>
      <c r="I63" s="124"/>
      <c r="J63" s="125"/>
      <c r="K63" s="128"/>
      <c r="L63" s="127" t="str">
        <f t="shared" si="0"/>
        <v>N/A</v>
      </c>
      <c r="M63" s="127"/>
      <c r="N63" s="127"/>
      <c r="O63" s="127" t="str">
        <f t="shared" si="1"/>
        <v>N/A</v>
      </c>
      <c r="P63" s="127"/>
      <c r="Q63" s="127"/>
      <c r="R63" s="127" t="str">
        <f t="shared" si="2"/>
        <v>N/A</v>
      </c>
      <c r="S63" s="127"/>
      <c r="T63" s="127"/>
      <c r="U63" s="127" t="str">
        <f t="shared" si="3"/>
        <v>N/A</v>
      </c>
      <c r="V63" s="127"/>
      <c r="W63" s="127"/>
      <c r="X63" s="127" t="str">
        <f t="shared" si="4"/>
        <v>N/A</v>
      </c>
      <c r="Y63" s="127"/>
      <c r="Z63" s="127"/>
      <c r="AA63" s="127" t="str">
        <f t="shared" si="5"/>
        <v>N/A</v>
      </c>
      <c r="AB63" s="127"/>
      <c r="AC63" s="127"/>
      <c r="AD63" s="127" t="str">
        <f t="shared" si="6"/>
        <v>N/A</v>
      </c>
      <c r="AE63" s="127"/>
      <c r="AF63" s="127"/>
      <c r="AG63" s="63"/>
    </row>
    <row r="64" spans="1:33" s="94" customFormat="1" x14ac:dyDescent="0.25">
      <c r="A64" s="69">
        <v>23</v>
      </c>
      <c r="B64" s="85"/>
      <c r="C64" s="65"/>
      <c r="D64" s="92"/>
      <c r="E64" s="69"/>
      <c r="F64" s="69"/>
      <c r="G64" s="87"/>
      <c r="H64" s="124"/>
      <c r="I64" s="124"/>
      <c r="J64" s="125"/>
      <c r="K64" s="128"/>
      <c r="L64" s="127" t="str">
        <f t="shared" si="0"/>
        <v>N/A</v>
      </c>
      <c r="M64" s="127"/>
      <c r="N64" s="127"/>
      <c r="O64" s="127" t="str">
        <f t="shared" si="1"/>
        <v>N/A</v>
      </c>
      <c r="P64" s="127"/>
      <c r="Q64" s="127"/>
      <c r="R64" s="127" t="str">
        <f t="shared" si="2"/>
        <v>N/A</v>
      </c>
      <c r="S64" s="127"/>
      <c r="T64" s="127"/>
      <c r="U64" s="127" t="str">
        <f t="shared" si="3"/>
        <v>N/A</v>
      </c>
      <c r="V64" s="127"/>
      <c r="W64" s="127"/>
      <c r="X64" s="127" t="str">
        <f t="shared" si="4"/>
        <v>N/A</v>
      </c>
      <c r="Y64" s="127"/>
      <c r="Z64" s="127"/>
      <c r="AA64" s="127" t="str">
        <f t="shared" si="5"/>
        <v>N/A</v>
      </c>
      <c r="AB64" s="127"/>
      <c r="AC64" s="127"/>
      <c r="AD64" s="127" t="str">
        <f t="shared" si="6"/>
        <v>N/A</v>
      </c>
      <c r="AE64" s="127"/>
      <c r="AF64" s="127"/>
      <c r="AG64" s="63"/>
    </row>
    <row r="65" spans="1:33" s="94" customFormat="1" x14ac:dyDescent="0.25">
      <c r="A65" s="69">
        <v>24</v>
      </c>
      <c r="B65" s="85"/>
      <c r="C65" s="65"/>
      <c r="D65" s="92"/>
      <c r="E65" s="69"/>
      <c r="F65" s="69"/>
      <c r="G65" s="87"/>
      <c r="H65" s="124"/>
      <c r="I65" s="124"/>
      <c r="J65" s="125"/>
      <c r="K65" s="128"/>
      <c r="L65" s="127" t="str">
        <f t="shared" si="0"/>
        <v>N/A</v>
      </c>
      <c r="M65" s="127"/>
      <c r="N65" s="127"/>
      <c r="O65" s="127" t="str">
        <f t="shared" si="1"/>
        <v>N/A</v>
      </c>
      <c r="P65" s="127"/>
      <c r="Q65" s="127"/>
      <c r="R65" s="127" t="str">
        <f t="shared" si="2"/>
        <v>N/A</v>
      </c>
      <c r="S65" s="127"/>
      <c r="T65" s="127"/>
      <c r="U65" s="127" t="str">
        <f t="shared" si="3"/>
        <v>N/A</v>
      </c>
      <c r="V65" s="127"/>
      <c r="W65" s="127"/>
      <c r="X65" s="127" t="str">
        <f t="shared" si="4"/>
        <v>N/A</v>
      </c>
      <c r="Y65" s="127"/>
      <c r="Z65" s="127"/>
      <c r="AA65" s="127" t="str">
        <f t="shared" si="5"/>
        <v>N/A</v>
      </c>
      <c r="AB65" s="127"/>
      <c r="AC65" s="127"/>
      <c r="AD65" s="127" t="str">
        <f t="shared" si="6"/>
        <v>N/A</v>
      </c>
      <c r="AE65" s="127"/>
      <c r="AF65" s="127"/>
      <c r="AG65" s="63"/>
    </row>
    <row r="66" spans="1:33" s="94" customFormat="1" x14ac:dyDescent="0.25">
      <c r="A66" s="1"/>
      <c r="B66" s="129"/>
      <c r="C66" s="1"/>
      <c r="D66" s="68"/>
      <c r="E66" s="1"/>
      <c r="F66" s="1"/>
      <c r="G66" s="1"/>
      <c r="H66" s="130"/>
      <c r="I66" s="130"/>
      <c r="J66" s="131"/>
      <c r="K66" s="132"/>
      <c r="L66" s="1"/>
      <c r="M66" s="133"/>
      <c r="N66" s="133"/>
      <c r="O66" s="1"/>
      <c r="P66" s="133"/>
      <c r="Q66" s="133"/>
      <c r="R66" s="1"/>
      <c r="S66" s="133"/>
      <c r="T66" s="133"/>
      <c r="U66" s="68"/>
      <c r="V66" s="134"/>
      <c r="W66" s="134"/>
      <c r="X66" s="68"/>
      <c r="Y66" s="68"/>
      <c r="Z66" s="68"/>
      <c r="AA66" s="68"/>
      <c r="AB66" s="68"/>
      <c r="AC66" s="68"/>
      <c r="AD66" s="68"/>
      <c r="AE66" s="68"/>
      <c r="AF66" s="68"/>
      <c r="AG66" s="64"/>
    </row>
    <row r="67" spans="1:33" s="94" customFormat="1" x14ac:dyDescent="0.25">
      <c r="A67" s="1"/>
      <c r="B67" s="129"/>
      <c r="C67" s="1"/>
      <c r="D67" s="68"/>
      <c r="E67" s="1"/>
      <c r="F67" s="1"/>
      <c r="G67" s="1"/>
      <c r="H67" s="130"/>
      <c r="I67" s="130"/>
      <c r="J67" s="131"/>
      <c r="K67" s="132"/>
      <c r="L67" s="1"/>
      <c r="M67" s="133"/>
      <c r="N67" s="133"/>
      <c r="O67" s="1"/>
      <c r="P67" s="133"/>
      <c r="Q67" s="133"/>
      <c r="R67" s="1"/>
      <c r="S67" s="133"/>
      <c r="T67" s="133"/>
      <c r="U67" s="68"/>
      <c r="V67" s="134"/>
      <c r="W67" s="134"/>
      <c r="X67" s="68"/>
      <c r="Y67" s="68"/>
      <c r="Z67" s="68"/>
      <c r="AA67" s="68"/>
      <c r="AB67" s="68"/>
      <c r="AC67" s="68"/>
      <c r="AD67" s="68"/>
      <c r="AE67" s="68"/>
      <c r="AF67" s="68"/>
      <c r="AG67" s="64"/>
    </row>
    <row r="68" spans="1:33" s="94" customFormat="1" x14ac:dyDescent="0.25">
      <c r="A68" s="1"/>
      <c r="B68" s="129"/>
      <c r="C68" s="1"/>
      <c r="D68" s="68"/>
      <c r="E68" s="1"/>
      <c r="F68" s="1"/>
      <c r="G68" s="1"/>
      <c r="H68" s="130"/>
      <c r="I68" s="130"/>
      <c r="J68" s="131"/>
      <c r="K68" s="132"/>
      <c r="L68" s="1"/>
      <c r="M68" s="133"/>
      <c r="N68" s="133"/>
      <c r="O68" s="1"/>
      <c r="P68" s="133"/>
      <c r="Q68" s="133"/>
      <c r="R68" s="1"/>
      <c r="S68" s="133"/>
      <c r="T68" s="133"/>
      <c r="U68" s="68"/>
      <c r="V68" s="134"/>
      <c r="W68" s="134"/>
      <c r="X68" s="68"/>
      <c r="Y68" s="68"/>
      <c r="Z68" s="68"/>
      <c r="AA68" s="68"/>
      <c r="AB68" s="68"/>
      <c r="AC68" s="68"/>
      <c r="AD68" s="68"/>
      <c r="AE68" s="68"/>
      <c r="AF68" s="68"/>
      <c r="AG68" s="64"/>
    </row>
    <row r="69" spans="1:33" s="94" customFormat="1" x14ac:dyDescent="0.25">
      <c r="A69" s="1"/>
      <c r="B69" s="129"/>
      <c r="C69" s="1"/>
      <c r="D69" s="68"/>
      <c r="E69" s="1"/>
      <c r="F69" s="1"/>
      <c r="G69" s="1"/>
      <c r="H69" s="130"/>
      <c r="I69" s="130"/>
      <c r="J69" s="131"/>
      <c r="K69" s="132"/>
      <c r="L69" s="1"/>
      <c r="M69" s="133"/>
      <c r="N69" s="133"/>
      <c r="O69" s="1"/>
      <c r="P69" s="133"/>
      <c r="Q69" s="133"/>
      <c r="R69" s="1"/>
      <c r="S69" s="133"/>
      <c r="T69" s="133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4"/>
    </row>
    <row r="70" spans="1:33" ht="99" x14ac:dyDescent="0.25">
      <c r="A70" s="65" t="s">
        <v>87</v>
      </c>
      <c r="B70" s="66" t="s">
        <v>77</v>
      </c>
      <c r="C70" s="67" t="s">
        <v>76</v>
      </c>
    </row>
    <row r="71" spans="1:33" ht="66" x14ac:dyDescent="0.25">
      <c r="A71" s="69" t="s">
        <v>85</v>
      </c>
      <c r="B71" s="66" t="s">
        <v>80</v>
      </c>
      <c r="C71" s="70" t="s">
        <v>140</v>
      </c>
    </row>
    <row r="72" spans="1:33" ht="66" x14ac:dyDescent="0.25">
      <c r="A72" s="69" t="s">
        <v>50</v>
      </c>
      <c r="B72" s="66" t="s">
        <v>81</v>
      </c>
      <c r="C72" s="70" t="s">
        <v>141</v>
      </c>
    </row>
    <row r="73" spans="1:33" ht="66" x14ac:dyDescent="0.25">
      <c r="A73" s="69" t="s">
        <v>51</v>
      </c>
      <c r="B73" s="66" t="s">
        <v>82</v>
      </c>
      <c r="C73" s="70" t="s">
        <v>142</v>
      </c>
    </row>
    <row r="74" spans="1:33" ht="66" x14ac:dyDescent="0.25">
      <c r="A74" s="69" t="s">
        <v>52</v>
      </c>
      <c r="B74" s="66" t="s">
        <v>83</v>
      </c>
      <c r="C74" s="70" t="s">
        <v>143</v>
      </c>
    </row>
    <row r="75" spans="1:33" ht="66" x14ac:dyDescent="0.25">
      <c r="A75" s="69" t="s">
        <v>86</v>
      </c>
      <c r="B75" s="66" t="s">
        <v>84</v>
      </c>
      <c r="C75" s="70" t="s">
        <v>144</v>
      </c>
    </row>
  </sheetData>
  <mergeCells count="9">
    <mergeCell ref="A27:K29"/>
    <mergeCell ref="L27:AG27"/>
    <mergeCell ref="L28:N28"/>
    <mergeCell ref="O28:Q28"/>
    <mergeCell ref="R28:T28"/>
    <mergeCell ref="U28:W28"/>
    <mergeCell ref="X28:Z28"/>
    <mergeCell ref="AA28:AC28"/>
    <mergeCell ref="AD28:AF28"/>
  </mergeCells>
  <phoneticPr fontId="2" type="noConversion"/>
  <conditionalFormatting sqref="M41:N65 P41:Q65 S41:T65 V41:W65 AB41:AC65 AE41:AF65">
    <cfRule type="expression" dxfId="7" priority="2">
      <formula>M41&gt;L41</formula>
    </cfRule>
  </conditionalFormatting>
  <conditionalFormatting sqref="Y41:Z65">
    <cfRule type="expression" dxfId="6" priority="1">
      <formula>AND($Y41&lt;&gt;"免風評",$Y41&gt;=$X41)</formula>
    </cfRule>
  </conditionalFormatting>
  <conditionalFormatting sqref="AD41:AD65">
    <cfRule type="expression" dxfId="5" priority="3">
      <formula>AND(ISNUMBER(AG41),ISNUMBER(AD41),AG41-2&lt;=AD41)</formula>
    </cfRule>
    <cfRule type="expression" dxfId="4" priority="4">
      <formula>AND(ISNUMBER(AG41),ISNUMBER(AD41),AG41-2&gt;AD41)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020A-C429-4EC7-A53B-B6750889C466}">
  <dimension ref="A27:AI75"/>
  <sheetViews>
    <sheetView topLeftCell="A27" zoomScale="85" zoomScaleNormal="85" workbookViewId="0">
      <pane xSplit="5" ySplit="16" topLeftCell="F43" activePane="bottomRight" state="frozen"/>
      <selection activeCell="A27" sqref="A27"/>
      <selection pane="topRight" activeCell="F27" sqref="F27"/>
      <selection pane="bottomLeft" activeCell="A43" sqref="A43"/>
      <selection pane="bottomRight" activeCell="G57" sqref="G57"/>
    </sheetView>
  </sheetViews>
  <sheetFormatPr defaultColWidth="8.875" defaultRowHeight="16.5" outlineLevelRow="1" outlineLevelCol="1" x14ac:dyDescent="0.25"/>
  <cols>
    <col min="1" max="1" width="6.875" style="1" customWidth="1"/>
    <col min="2" max="2" width="8.5" style="129" hidden="1" customWidth="1"/>
    <col min="3" max="3" width="52.75" style="1" customWidth="1"/>
    <col min="4" max="4" width="10.25" style="1" customWidth="1"/>
    <col min="5" max="5" width="23.125" style="1" customWidth="1"/>
    <col min="6" max="6" width="33.75" style="1" hidden="1" customWidth="1"/>
    <col min="7" max="7" width="31.875" style="1" customWidth="1"/>
    <col min="8" max="8" width="19.375" style="1" customWidth="1"/>
    <col min="9" max="9" width="15.5" style="130" hidden="1" customWidth="1"/>
    <col min="10" max="10" width="14.75" style="130" hidden="1" customWidth="1"/>
    <col min="11" max="11" width="10.625" style="131" hidden="1" customWidth="1"/>
    <col min="12" max="12" width="16.5" style="132" customWidth="1"/>
    <col min="13" max="13" width="12" style="1" customWidth="1"/>
    <col min="14" max="15" width="12" style="133" customWidth="1" outlineLevel="1"/>
    <col min="16" max="16" width="12" style="1" customWidth="1"/>
    <col min="17" max="18" width="12" style="133" customWidth="1" outlineLevel="1"/>
    <col min="19" max="19" width="13.75" style="1" customWidth="1"/>
    <col min="20" max="20" width="13.875" style="133" customWidth="1" outlineLevel="1"/>
    <col min="21" max="21" width="11.25" style="133" customWidth="1" outlineLevel="1"/>
    <col min="22" max="22" width="12.25" style="68" customWidth="1"/>
    <col min="23" max="24" width="12.25" style="68" customWidth="1" outlineLevel="1"/>
    <col min="25" max="25" width="10.125" style="68" customWidth="1"/>
    <col min="26" max="27" width="10.125" style="68" customWidth="1" outlineLevel="1"/>
    <col min="28" max="28" width="10.125" style="68" customWidth="1"/>
    <col min="29" max="30" width="10.125" style="68" customWidth="1" outlineLevel="1"/>
    <col min="31" max="31" width="10.25" style="68" customWidth="1"/>
    <col min="32" max="33" width="10.25" style="68" customWidth="1" outlineLevel="1"/>
    <col min="34" max="34" width="11.125" style="68" customWidth="1"/>
    <col min="35" max="35" width="25.125" style="94" customWidth="1"/>
    <col min="36" max="16384" width="8.875" style="1"/>
  </cols>
  <sheetData>
    <row r="27" spans="1:35" s="81" customFormat="1" x14ac:dyDescent="0.25">
      <c r="A27" s="158" t="s">
        <v>73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60"/>
      <c r="M27" s="167" t="s">
        <v>74</v>
      </c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9"/>
      <c r="AI27" s="80"/>
    </row>
    <row r="28" spans="1:35" s="68" customFormat="1" ht="19.899999999999999" customHeight="1" x14ac:dyDescent="0.25">
      <c r="A28" s="161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3"/>
      <c r="M28" s="167">
        <v>1</v>
      </c>
      <c r="N28" s="168"/>
      <c r="O28" s="169"/>
      <c r="P28" s="167">
        <v>2</v>
      </c>
      <c r="Q28" s="168"/>
      <c r="R28" s="169"/>
      <c r="S28" s="167">
        <v>3</v>
      </c>
      <c r="T28" s="168"/>
      <c r="U28" s="169"/>
      <c r="V28" s="167">
        <v>4</v>
      </c>
      <c r="W28" s="168"/>
      <c r="X28" s="169"/>
      <c r="Y28" s="167">
        <v>5</v>
      </c>
      <c r="Z28" s="168"/>
      <c r="AA28" s="169"/>
      <c r="AB28" s="167">
        <v>6</v>
      </c>
      <c r="AC28" s="168"/>
      <c r="AD28" s="169"/>
      <c r="AE28" s="167">
        <v>7</v>
      </c>
      <c r="AF28" s="168"/>
      <c r="AG28" s="169"/>
      <c r="AH28" s="56">
        <v>8</v>
      </c>
      <c r="AI28" s="82"/>
    </row>
    <row r="29" spans="1:35" s="68" customFormat="1" ht="19.899999999999999" customHeight="1" x14ac:dyDescent="0.25">
      <c r="A29" s="164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6"/>
      <c r="M29" s="57" t="s">
        <v>48</v>
      </c>
      <c r="N29" s="83"/>
      <c r="O29" s="84"/>
      <c r="P29" s="57" t="s">
        <v>49</v>
      </c>
      <c r="Q29" s="83"/>
      <c r="R29" s="84"/>
      <c r="S29" s="57" t="s">
        <v>50</v>
      </c>
      <c r="T29" s="83"/>
      <c r="U29" s="84"/>
      <c r="V29" s="57" t="s">
        <v>51</v>
      </c>
      <c r="W29" s="58"/>
      <c r="X29" s="84"/>
      <c r="Y29" s="57" t="s">
        <v>52</v>
      </c>
      <c r="Z29" s="58"/>
      <c r="AA29" s="59"/>
      <c r="AB29" s="57" t="s">
        <v>5</v>
      </c>
      <c r="AC29" s="58"/>
      <c r="AD29" s="59"/>
      <c r="AE29" s="57" t="s">
        <v>3</v>
      </c>
      <c r="AF29" s="58"/>
      <c r="AG29" s="59"/>
      <c r="AH29" s="57" t="s">
        <v>2</v>
      </c>
      <c r="AI29" s="82"/>
    </row>
    <row r="30" spans="1:35" s="78" customFormat="1" ht="29.65" customHeight="1" x14ac:dyDescent="0.25">
      <c r="A30" s="71" t="s">
        <v>0</v>
      </c>
      <c r="B30" s="72" t="s">
        <v>43</v>
      </c>
      <c r="C30" s="73" t="s">
        <v>1</v>
      </c>
      <c r="D30" s="72" t="s">
        <v>66</v>
      </c>
      <c r="E30" s="72" t="s">
        <v>65</v>
      </c>
      <c r="F30" s="72" t="s">
        <v>75</v>
      </c>
      <c r="G30" s="72" t="s">
        <v>176</v>
      </c>
      <c r="H30" s="71" t="s">
        <v>25</v>
      </c>
      <c r="I30" s="74" t="s">
        <v>53</v>
      </c>
      <c r="J30" s="74" t="s">
        <v>54</v>
      </c>
      <c r="K30" s="75" t="s">
        <v>55</v>
      </c>
      <c r="L30" s="79" t="s">
        <v>155</v>
      </c>
      <c r="M30" s="72" t="s">
        <v>63</v>
      </c>
      <c r="N30" s="76" t="s">
        <v>64</v>
      </c>
      <c r="O30" s="76" t="s">
        <v>70</v>
      </c>
      <c r="P30" s="72" t="s">
        <v>56</v>
      </c>
      <c r="Q30" s="76" t="s">
        <v>57</v>
      </c>
      <c r="R30" s="76" t="s">
        <v>70</v>
      </c>
      <c r="S30" s="72" t="s">
        <v>58</v>
      </c>
      <c r="T30" s="76" t="s">
        <v>59</v>
      </c>
      <c r="U30" s="76" t="s">
        <v>70</v>
      </c>
      <c r="V30" s="72" t="s">
        <v>78</v>
      </c>
      <c r="W30" s="72" t="s">
        <v>79</v>
      </c>
      <c r="X30" s="76" t="s">
        <v>70</v>
      </c>
      <c r="Y30" s="72" t="s">
        <v>60</v>
      </c>
      <c r="Z30" s="72" t="s">
        <v>37</v>
      </c>
      <c r="AA30" s="76" t="s">
        <v>70</v>
      </c>
      <c r="AB30" s="72" t="s">
        <v>68</v>
      </c>
      <c r="AC30" s="72" t="s">
        <v>67</v>
      </c>
      <c r="AD30" s="76" t="s">
        <v>70</v>
      </c>
      <c r="AE30" s="72" t="s">
        <v>61</v>
      </c>
      <c r="AF30" s="72" t="s">
        <v>62</v>
      </c>
      <c r="AG30" s="76" t="s">
        <v>70</v>
      </c>
      <c r="AH30" s="72" t="s">
        <v>4</v>
      </c>
      <c r="AI30" s="77"/>
    </row>
    <row r="31" spans="1:35" ht="19.149999999999999" hidden="1" customHeight="1" outlineLevel="1" x14ac:dyDescent="0.25">
      <c r="A31" s="69">
        <v>1</v>
      </c>
      <c r="B31" s="85"/>
      <c r="C31" s="69" t="s">
        <v>6</v>
      </c>
      <c r="D31" s="86"/>
      <c r="E31" s="86"/>
      <c r="F31" s="86"/>
      <c r="G31" s="86"/>
      <c r="H31" s="87">
        <v>260000000</v>
      </c>
      <c r="I31" s="88"/>
      <c r="J31" s="88"/>
      <c r="K31" s="89"/>
      <c r="L31" s="90"/>
      <c r="M31" s="86"/>
      <c r="N31" s="91"/>
      <c r="O31" s="91"/>
      <c r="P31" s="86"/>
      <c r="Q31" s="91"/>
      <c r="R31" s="91"/>
      <c r="S31" s="86"/>
      <c r="T31" s="91"/>
      <c r="U31" s="91"/>
      <c r="V31" s="92"/>
      <c r="W31" s="93" t="s">
        <v>23</v>
      </c>
      <c r="X31" s="93"/>
      <c r="Y31" s="92"/>
      <c r="Z31" s="92" t="s">
        <v>10</v>
      </c>
      <c r="AA31" s="92"/>
      <c r="AB31" s="92"/>
      <c r="AC31" s="92"/>
      <c r="AD31" s="92"/>
      <c r="AE31" s="92"/>
      <c r="AF31" s="92" t="s">
        <v>17</v>
      </c>
      <c r="AG31" s="92"/>
      <c r="AH31" s="60" t="s">
        <v>9</v>
      </c>
    </row>
    <row r="32" spans="1:35" ht="19.149999999999999" hidden="1" customHeight="1" outlineLevel="1" x14ac:dyDescent="0.25">
      <c r="A32" s="69">
        <v>2</v>
      </c>
      <c r="B32" s="85"/>
      <c r="C32" s="69" t="s">
        <v>19</v>
      </c>
      <c r="D32" s="86"/>
      <c r="E32" s="86"/>
      <c r="F32" s="86"/>
      <c r="G32" s="86"/>
      <c r="H32" s="87">
        <v>19000000</v>
      </c>
      <c r="I32" s="88"/>
      <c r="J32" s="88"/>
      <c r="K32" s="89"/>
      <c r="L32" s="90"/>
      <c r="M32" s="86"/>
      <c r="N32" s="91"/>
      <c r="O32" s="91"/>
      <c r="P32" s="86"/>
      <c r="Q32" s="91"/>
      <c r="R32" s="91"/>
      <c r="S32" s="86"/>
      <c r="T32" s="91"/>
      <c r="U32" s="91"/>
      <c r="V32" s="92"/>
      <c r="W32" s="93" t="s">
        <v>28</v>
      </c>
      <c r="X32" s="93"/>
      <c r="Y32" s="92"/>
      <c r="Z32" s="92" t="s">
        <v>11</v>
      </c>
      <c r="AA32" s="92"/>
      <c r="AB32" s="92"/>
      <c r="AC32" s="92"/>
      <c r="AD32" s="92"/>
      <c r="AE32" s="92"/>
      <c r="AF32" s="92" t="s">
        <v>16</v>
      </c>
      <c r="AG32" s="92"/>
      <c r="AH32" s="60" t="s">
        <v>31</v>
      </c>
    </row>
    <row r="33" spans="1:35" ht="19.149999999999999" hidden="1" customHeight="1" outlineLevel="1" x14ac:dyDescent="0.25">
      <c r="A33" s="69">
        <v>3</v>
      </c>
      <c r="B33" s="85"/>
      <c r="C33" s="69" t="s">
        <v>22</v>
      </c>
      <c r="D33" s="86"/>
      <c r="E33" s="86"/>
      <c r="F33" s="86"/>
      <c r="G33" s="86"/>
      <c r="H33" s="87">
        <v>19525275</v>
      </c>
      <c r="I33" s="88">
        <v>18967000</v>
      </c>
      <c r="J33" s="88"/>
      <c r="K33" s="89"/>
      <c r="L33" s="90"/>
      <c r="M33" s="86"/>
      <c r="N33" s="91"/>
      <c r="O33" s="91"/>
      <c r="P33" s="86"/>
      <c r="Q33" s="91"/>
      <c r="R33" s="91"/>
      <c r="S33" s="86"/>
      <c r="T33" s="91"/>
      <c r="U33" s="91"/>
      <c r="V33" s="92"/>
      <c r="W33" s="93" t="s">
        <v>28</v>
      </c>
      <c r="X33" s="93"/>
      <c r="Y33" s="92"/>
      <c r="Z33" s="92" t="s">
        <v>12</v>
      </c>
      <c r="AA33" s="92"/>
      <c r="AB33" s="92"/>
      <c r="AC33" s="92"/>
      <c r="AD33" s="92"/>
      <c r="AE33" s="92"/>
      <c r="AF33" s="92" t="s">
        <v>29</v>
      </c>
      <c r="AG33" s="92"/>
      <c r="AH33" s="60" t="s">
        <v>32</v>
      </c>
    </row>
    <row r="34" spans="1:35" ht="19.149999999999999" hidden="1" customHeight="1" outlineLevel="1" x14ac:dyDescent="0.25">
      <c r="A34" s="69">
        <v>4</v>
      </c>
      <c r="B34" s="85"/>
      <c r="C34" s="69" t="s">
        <v>24</v>
      </c>
      <c r="D34" s="86"/>
      <c r="E34" s="86"/>
      <c r="F34" s="86"/>
      <c r="G34" s="86"/>
      <c r="H34" s="87">
        <v>21163000</v>
      </c>
      <c r="I34" s="88"/>
      <c r="J34" s="88"/>
      <c r="K34" s="89"/>
      <c r="L34" s="90"/>
      <c r="M34" s="86"/>
      <c r="N34" s="91"/>
      <c r="O34" s="91"/>
      <c r="P34" s="86"/>
      <c r="Q34" s="91"/>
      <c r="R34" s="91"/>
      <c r="S34" s="86"/>
      <c r="T34" s="91"/>
      <c r="U34" s="91"/>
      <c r="V34" s="92"/>
      <c r="W34" s="93" t="s">
        <v>28</v>
      </c>
      <c r="X34" s="93"/>
      <c r="Y34" s="92"/>
      <c r="Z34" s="92" t="s">
        <v>13</v>
      </c>
      <c r="AA34" s="92"/>
      <c r="AB34" s="92"/>
      <c r="AC34" s="92"/>
      <c r="AD34" s="92"/>
      <c r="AE34" s="92"/>
      <c r="AF34" s="92" t="s">
        <v>12</v>
      </c>
      <c r="AG34" s="92"/>
      <c r="AH34" s="61" t="s">
        <v>36</v>
      </c>
    </row>
    <row r="35" spans="1:35" ht="19.149999999999999" hidden="1" customHeight="1" outlineLevel="1" x14ac:dyDescent="0.25">
      <c r="A35" s="69">
        <v>5</v>
      </c>
      <c r="B35" s="85"/>
      <c r="C35" s="69" t="s">
        <v>21</v>
      </c>
      <c r="D35" s="86"/>
      <c r="E35" s="86"/>
      <c r="F35" s="86"/>
      <c r="G35" s="86"/>
      <c r="H35" s="87">
        <v>1490000</v>
      </c>
      <c r="I35" s="88"/>
      <c r="J35" s="88"/>
      <c r="K35" s="89"/>
      <c r="L35" s="90"/>
      <c r="M35" s="86"/>
      <c r="N35" s="91"/>
      <c r="O35" s="91"/>
      <c r="P35" s="86"/>
      <c r="Q35" s="91"/>
      <c r="R35" s="91"/>
      <c r="S35" s="86"/>
      <c r="T35" s="91"/>
      <c r="U35" s="91"/>
      <c r="V35" s="92"/>
      <c r="W35" s="92" t="s">
        <v>27</v>
      </c>
      <c r="X35" s="92"/>
      <c r="Y35" s="92"/>
      <c r="Z35" s="92" t="s">
        <v>14</v>
      </c>
      <c r="AA35" s="92"/>
      <c r="AB35" s="92"/>
      <c r="AC35" s="92"/>
      <c r="AD35" s="92"/>
      <c r="AE35" s="92"/>
      <c r="AF35" s="92" t="s">
        <v>14</v>
      </c>
      <c r="AG35" s="92"/>
      <c r="AH35" s="60" t="s">
        <v>31</v>
      </c>
    </row>
    <row r="36" spans="1:35" ht="19.149999999999999" hidden="1" customHeight="1" outlineLevel="1" x14ac:dyDescent="0.25">
      <c r="A36" s="69">
        <v>6</v>
      </c>
      <c r="B36" s="85"/>
      <c r="C36" s="95" t="s">
        <v>7</v>
      </c>
      <c r="D36" s="96"/>
      <c r="E36" s="96"/>
      <c r="F36" s="96"/>
      <c r="G36" s="96"/>
      <c r="H36" s="87">
        <v>317769000</v>
      </c>
      <c r="I36" s="97"/>
      <c r="J36" s="97"/>
      <c r="K36" s="98"/>
      <c r="L36" s="99"/>
      <c r="M36" s="96"/>
      <c r="N36" s="100"/>
      <c r="O36" s="100"/>
      <c r="P36" s="96"/>
      <c r="Q36" s="100"/>
      <c r="R36" s="100"/>
      <c r="S36" s="96"/>
      <c r="T36" s="100"/>
      <c r="U36" s="100"/>
      <c r="V36" s="101"/>
      <c r="W36" s="101"/>
      <c r="X36" s="101"/>
      <c r="Y36" s="101"/>
      <c r="Z36" s="102"/>
      <c r="AA36" s="102"/>
      <c r="AB36" s="102"/>
      <c r="AC36" s="102"/>
      <c r="AD36" s="102"/>
      <c r="AE36" s="102"/>
      <c r="AF36" s="102"/>
      <c r="AG36" s="102"/>
      <c r="AH36" s="60" t="s">
        <v>18</v>
      </c>
    </row>
    <row r="37" spans="1:35" ht="19.149999999999999" hidden="1" customHeight="1" outlineLevel="1" x14ac:dyDescent="0.25">
      <c r="A37" s="69">
        <v>7</v>
      </c>
      <c r="B37" s="85"/>
      <c r="C37" s="69" t="s">
        <v>8</v>
      </c>
      <c r="D37" s="96"/>
      <c r="E37" s="96"/>
      <c r="F37" s="96"/>
      <c r="G37" s="96"/>
      <c r="H37" s="87">
        <v>33380944</v>
      </c>
      <c r="I37" s="97"/>
      <c r="J37" s="97"/>
      <c r="K37" s="98"/>
      <c r="L37" s="99"/>
      <c r="M37" s="96"/>
      <c r="N37" s="100"/>
      <c r="O37" s="100"/>
      <c r="P37" s="96"/>
      <c r="Q37" s="100"/>
      <c r="R37" s="100"/>
      <c r="S37" s="96"/>
      <c r="T37" s="100"/>
      <c r="U37" s="100"/>
      <c r="V37" s="101"/>
      <c r="W37" s="101"/>
      <c r="X37" s="101"/>
      <c r="Y37" s="101"/>
      <c r="Z37" s="102"/>
      <c r="AA37" s="102"/>
      <c r="AB37" s="102"/>
      <c r="AC37" s="102"/>
      <c r="AD37" s="102"/>
      <c r="AE37" s="102"/>
      <c r="AF37" s="102"/>
      <c r="AG37" s="102"/>
      <c r="AH37" s="60" t="s">
        <v>33</v>
      </c>
    </row>
    <row r="38" spans="1:35" ht="19.149999999999999" hidden="1" customHeight="1" outlineLevel="1" x14ac:dyDescent="0.25">
      <c r="A38" s="69">
        <v>8</v>
      </c>
      <c r="B38" s="85"/>
      <c r="C38" s="69" t="s">
        <v>20</v>
      </c>
      <c r="D38" s="86"/>
      <c r="E38" s="86"/>
      <c r="F38" s="86"/>
      <c r="G38" s="86"/>
      <c r="H38" s="87">
        <v>8715000</v>
      </c>
      <c r="I38" s="88"/>
      <c r="J38" s="88"/>
      <c r="K38" s="89"/>
      <c r="L38" s="90"/>
      <c r="M38" s="86"/>
      <c r="N38" s="91"/>
      <c r="O38" s="91"/>
      <c r="P38" s="86"/>
      <c r="Q38" s="91"/>
      <c r="R38" s="91"/>
      <c r="S38" s="86"/>
      <c r="T38" s="91"/>
      <c r="U38" s="91"/>
      <c r="V38" s="92"/>
      <c r="W38" s="93" t="s">
        <v>26</v>
      </c>
      <c r="X38" s="93"/>
      <c r="Y38" s="92"/>
      <c r="Z38" s="92" t="s">
        <v>15</v>
      </c>
      <c r="AA38" s="92"/>
      <c r="AB38" s="92"/>
      <c r="AC38" s="92"/>
      <c r="AD38" s="92"/>
      <c r="AE38" s="92"/>
      <c r="AF38" s="92" t="s">
        <v>18</v>
      </c>
      <c r="AG38" s="92"/>
      <c r="AH38" s="60" t="s">
        <v>34</v>
      </c>
    </row>
    <row r="39" spans="1:35" s="104" customFormat="1" ht="19.149999999999999" hidden="1" customHeight="1" outlineLevel="1" x14ac:dyDescent="0.25">
      <c r="A39" s="69">
        <v>9</v>
      </c>
      <c r="B39" s="85"/>
      <c r="C39" s="69" t="s">
        <v>30</v>
      </c>
      <c r="D39" s="86"/>
      <c r="E39" s="86"/>
      <c r="F39" s="86"/>
      <c r="G39" s="86"/>
      <c r="H39" s="87">
        <v>46869000</v>
      </c>
      <c r="I39" s="88"/>
      <c r="J39" s="88"/>
      <c r="K39" s="89"/>
      <c r="L39" s="90"/>
      <c r="M39" s="86"/>
      <c r="N39" s="91"/>
      <c r="O39" s="91"/>
      <c r="P39" s="86"/>
      <c r="Q39" s="91"/>
      <c r="R39" s="91"/>
      <c r="S39" s="86"/>
      <c r="T39" s="91"/>
      <c r="U39" s="91"/>
      <c r="V39" s="92"/>
      <c r="W39" s="101"/>
      <c r="X39" s="101"/>
      <c r="Y39" s="101"/>
      <c r="Z39" s="102"/>
      <c r="AA39" s="102"/>
      <c r="AB39" s="102"/>
      <c r="AC39" s="102"/>
      <c r="AD39" s="102"/>
      <c r="AE39" s="102"/>
      <c r="AF39" s="102"/>
      <c r="AG39" s="102"/>
      <c r="AH39" s="60" t="s">
        <v>35</v>
      </c>
      <c r="AI39" s="103"/>
    </row>
    <row r="40" spans="1:35" s="114" customFormat="1" ht="19.149999999999999" hidden="1" customHeight="1" collapsed="1" x14ac:dyDescent="0.25">
      <c r="A40" s="105"/>
      <c r="B40" s="85" t="s">
        <v>43</v>
      </c>
      <c r="C40" s="105"/>
      <c r="D40" s="106"/>
      <c r="E40" s="106"/>
      <c r="F40" s="106"/>
      <c r="G40" s="106"/>
      <c r="H40" s="107" t="s">
        <v>42</v>
      </c>
      <c r="I40" s="108"/>
      <c r="J40" s="108"/>
      <c r="K40" s="109"/>
      <c r="L40" s="110"/>
      <c r="M40" s="106"/>
      <c r="N40" s="111"/>
      <c r="O40" s="111"/>
      <c r="P40" s="106"/>
      <c r="Q40" s="111"/>
      <c r="R40" s="111"/>
      <c r="S40" s="106"/>
      <c r="T40" s="111"/>
      <c r="U40" s="111"/>
      <c r="V40" s="112" t="s">
        <v>41</v>
      </c>
      <c r="W40" s="112" t="s">
        <v>40</v>
      </c>
      <c r="X40" s="112"/>
      <c r="Y40" s="112" t="s">
        <v>41</v>
      </c>
      <c r="Z40" s="112" t="s">
        <v>39</v>
      </c>
      <c r="AA40" s="112"/>
      <c r="AB40" s="112"/>
      <c r="AC40" s="112"/>
      <c r="AD40" s="112"/>
      <c r="AE40" s="112" t="s">
        <v>41</v>
      </c>
      <c r="AF40" s="112"/>
      <c r="AG40" s="112"/>
      <c r="AH40" s="60" t="s">
        <v>38</v>
      </c>
      <c r="AI40" s="113"/>
    </row>
    <row r="41" spans="1:35" s="123" customFormat="1" hidden="1" x14ac:dyDescent="0.25">
      <c r="A41" s="115" t="s">
        <v>71</v>
      </c>
      <c r="B41" s="116" t="s">
        <v>44</v>
      </c>
      <c r="C41" s="117" t="s">
        <v>46</v>
      </c>
      <c r="D41" s="115"/>
      <c r="E41" s="115"/>
      <c r="F41" s="115"/>
      <c r="G41" s="115"/>
      <c r="H41" s="118">
        <v>2350000</v>
      </c>
      <c r="I41" s="119">
        <v>2200000</v>
      </c>
      <c r="J41" s="119">
        <v>2000000</v>
      </c>
      <c r="K41" s="120"/>
      <c r="L41" s="121"/>
      <c r="M41" s="62">
        <f>IF(NOT(ISNUMBER(AH41)),"N/A",AH41-14)</f>
        <v>46022</v>
      </c>
      <c r="N41" s="62">
        <v>46024</v>
      </c>
      <c r="O41" s="62"/>
      <c r="P41" s="62">
        <f>IF(NOT(ISNUMBER(AH41)),"N/A",AH41-11)</f>
        <v>46025</v>
      </c>
      <c r="Q41" s="62">
        <v>46024</v>
      </c>
      <c r="R41" s="62"/>
      <c r="S41" s="62">
        <f>IF(NOT(ISNUMBER(AH41)),"N/A",AH41-9)</f>
        <v>46027</v>
      </c>
      <c r="T41" s="62">
        <v>46025</v>
      </c>
      <c r="U41" s="62"/>
      <c r="V41" s="62">
        <f>IF(NOT(ISNUMBER(AH41)),"N/A",AH41-8)</f>
        <v>46028</v>
      </c>
      <c r="W41" s="62">
        <v>46029</v>
      </c>
      <c r="X41" s="62"/>
      <c r="Y41" s="62">
        <f>IF(NOT(ISNUMBER(AH41)),"N/A",AH41-7)</f>
        <v>46029</v>
      </c>
      <c r="Z41" s="62" t="s">
        <v>69</v>
      </c>
      <c r="AA41" s="62"/>
      <c r="AB41" s="62">
        <f>IF(NOT(ISNUMBER(AH41)),"N/A",AH41-6)</f>
        <v>46030</v>
      </c>
      <c r="AC41" s="62">
        <v>46031</v>
      </c>
      <c r="AD41" s="62"/>
      <c r="AE41" s="62">
        <f>IF(NOT(ISNUMBER(AH41)),"N/A",AH41-2)</f>
        <v>46034</v>
      </c>
      <c r="AF41" s="62">
        <v>46033</v>
      </c>
      <c r="AG41" s="62"/>
      <c r="AH41" s="62">
        <v>46036</v>
      </c>
      <c r="AI41" s="122"/>
    </row>
    <row r="42" spans="1:35" s="123" customFormat="1" hidden="1" x14ac:dyDescent="0.25">
      <c r="A42" s="115" t="s">
        <v>72</v>
      </c>
      <c r="B42" s="116" t="s">
        <v>45</v>
      </c>
      <c r="C42" s="117" t="s">
        <v>47</v>
      </c>
      <c r="D42" s="115"/>
      <c r="E42" s="115"/>
      <c r="F42" s="115"/>
      <c r="G42" s="115"/>
      <c r="H42" s="118">
        <v>1490000</v>
      </c>
      <c r="I42" s="119">
        <v>1400000</v>
      </c>
      <c r="J42" s="119">
        <v>1100000</v>
      </c>
      <c r="K42" s="120"/>
      <c r="L42" s="121"/>
      <c r="M42" s="62">
        <f t="shared" ref="M42" si="0">IF(NOT(ISNUMBER(AH42)),"N/A",AH42-14)</f>
        <v>46083</v>
      </c>
      <c r="N42" s="62">
        <v>46082</v>
      </c>
      <c r="O42" s="62"/>
      <c r="P42" s="62">
        <f t="shared" ref="P42" si="1">IF(NOT(ISNUMBER(AH42)),"N/A",AH42-11)</f>
        <v>46086</v>
      </c>
      <c r="Q42" s="62">
        <v>46087</v>
      </c>
      <c r="R42" s="62"/>
      <c r="S42" s="62">
        <f t="shared" ref="S42" si="2">IF(NOT(ISNUMBER(AH42)),"N/A",AH42-9)</f>
        <v>46088</v>
      </c>
      <c r="T42" s="62">
        <v>46089</v>
      </c>
      <c r="U42" s="62"/>
      <c r="V42" s="62">
        <f t="shared" ref="V42" si="3">IF(NOT(ISNUMBER(AH42)),"N/A",AH42-8)</f>
        <v>46089</v>
      </c>
      <c r="W42" s="62">
        <v>46083</v>
      </c>
      <c r="X42" s="62"/>
      <c r="Y42" s="62">
        <f t="shared" ref="Y42" si="4">IF(NOT(ISNUMBER(AH42)),"N/A",AH42-7)</f>
        <v>46090</v>
      </c>
      <c r="Z42" s="62">
        <v>46091</v>
      </c>
      <c r="AA42" s="62"/>
      <c r="AB42" s="62">
        <f t="shared" ref="AB42" si="5">IF(NOT(ISNUMBER(AH42)),"N/A",AH42-6)</f>
        <v>46091</v>
      </c>
      <c r="AC42" s="62">
        <v>46084</v>
      </c>
      <c r="AD42" s="62"/>
      <c r="AE42" s="62">
        <f>IF(NOT(ISNUMBER(AH42)),"N/A",AH42-2)</f>
        <v>46095</v>
      </c>
      <c r="AF42" s="62">
        <v>46101</v>
      </c>
      <c r="AG42" s="62"/>
      <c r="AH42" s="62">
        <v>46097</v>
      </c>
      <c r="AI42" s="122"/>
    </row>
    <row r="43" spans="1:35" s="151" customFormat="1" ht="22.5" customHeight="1" x14ac:dyDescent="0.25">
      <c r="A43" s="141">
        <v>1</v>
      </c>
      <c r="B43" s="142"/>
      <c r="C43" s="151" t="s">
        <v>131</v>
      </c>
      <c r="D43" s="141" t="s">
        <v>132</v>
      </c>
      <c r="E43" s="141" t="s">
        <v>134</v>
      </c>
      <c r="F43" s="96" t="s">
        <v>139</v>
      </c>
      <c r="G43" s="96"/>
      <c r="H43" s="144">
        <v>52215000</v>
      </c>
      <c r="I43" s="145"/>
      <c r="J43" s="145"/>
      <c r="K43" s="146"/>
      <c r="L43" s="99" t="s">
        <v>156</v>
      </c>
      <c r="M43" s="147">
        <f t="shared" ref="M43:M65" si="6">IF(NOT(ISNUMBER(AH43)),"N/A",AH43-14)</f>
        <v>46209</v>
      </c>
      <c r="N43" s="147"/>
      <c r="O43" s="147"/>
      <c r="P43" s="147">
        <f t="shared" ref="P43:P65" si="7">IF(NOT(ISNUMBER(AH43)),"N/A",AH43-11)</f>
        <v>46212</v>
      </c>
      <c r="Q43" s="147">
        <v>46196</v>
      </c>
      <c r="R43" s="147"/>
      <c r="S43" s="147">
        <f t="shared" ref="S43:S65" si="8">IF(NOT(ISNUMBER(AH43)),"N/A",AH43-9)</f>
        <v>46214</v>
      </c>
      <c r="T43" s="147"/>
      <c r="U43" s="147"/>
      <c r="V43" s="147">
        <f t="shared" ref="V43:V65" si="9">IF(NOT(ISNUMBER(AH43)),"N/A",AH43-8)</f>
        <v>46215</v>
      </c>
      <c r="W43" s="147"/>
      <c r="X43" s="147"/>
      <c r="Y43" s="147">
        <f t="shared" ref="Y43:Y65" si="10">IF(NOT(ISNUMBER(AH43)),"N/A",AH43-7)</f>
        <v>46216</v>
      </c>
      <c r="Z43" s="147"/>
      <c r="AA43" s="147"/>
      <c r="AB43" s="147">
        <f t="shared" ref="AB43:AB65" si="11">IF(NOT(ISNUMBER(AH43)),"N/A",AH43-6)</f>
        <v>46217</v>
      </c>
      <c r="AC43" s="147"/>
      <c r="AD43" s="147"/>
      <c r="AE43" s="147">
        <f t="shared" ref="AE43:AE65" si="12">IF(NOT(ISNUMBER(AH43)),"N/A",AH43-2)</f>
        <v>46221</v>
      </c>
      <c r="AF43" s="147"/>
      <c r="AG43" s="147"/>
      <c r="AH43" s="100">
        <v>46223</v>
      </c>
      <c r="AI43" s="149"/>
    </row>
    <row r="44" spans="1:35" s="149" customFormat="1" ht="30.75" customHeight="1" x14ac:dyDescent="0.25">
      <c r="A44" s="141">
        <v>3</v>
      </c>
      <c r="B44" s="142"/>
      <c r="C44" s="143" t="s">
        <v>135</v>
      </c>
      <c r="D44" s="141" t="s">
        <v>137</v>
      </c>
      <c r="E44" s="141" t="s">
        <v>136</v>
      </c>
      <c r="F44" s="150" t="s">
        <v>147</v>
      </c>
      <c r="G44" s="150"/>
      <c r="H44" s="144"/>
      <c r="I44" s="145"/>
      <c r="J44" s="145">
        <f>11095780*1.05</f>
        <v>11650569</v>
      </c>
      <c r="K44" s="146"/>
      <c r="L44" s="99" t="s">
        <v>156</v>
      </c>
      <c r="M44" s="147">
        <f>IF(NOT(ISNUMBER(AH44)),"N/A",AH44-14)</f>
        <v>46192</v>
      </c>
      <c r="N44" s="147"/>
      <c r="O44" s="147"/>
      <c r="P44" s="147">
        <f>IF(NOT(ISNUMBER(AH44)),"N/A",AH44-11)</f>
        <v>46195</v>
      </c>
      <c r="Q44" s="147"/>
      <c r="R44" s="147"/>
      <c r="S44" s="147">
        <f>IF(NOT(ISNUMBER(AH44)),"N/A",AH44-9)</f>
        <v>46197</v>
      </c>
      <c r="T44" s="147"/>
      <c r="U44" s="147"/>
      <c r="V44" s="147">
        <f>IF(NOT(ISNUMBER(AH44)),"N/A",AH44-8)</f>
        <v>46198</v>
      </c>
      <c r="W44" s="147"/>
      <c r="X44" s="147"/>
      <c r="Y44" s="147">
        <f>IF(NOT(ISNUMBER(AH44)),"N/A",AH44-7)</f>
        <v>46199</v>
      </c>
      <c r="Z44" s="147"/>
      <c r="AA44" s="147"/>
      <c r="AB44" s="147">
        <f>IF(NOT(ISNUMBER(AH44)),"N/A",AH44-6)</f>
        <v>46200</v>
      </c>
      <c r="AC44" s="147"/>
      <c r="AD44" s="147"/>
      <c r="AE44" s="147">
        <f>IF(NOT(ISNUMBER(AH44)),"N/A",AH44-2)</f>
        <v>46204</v>
      </c>
      <c r="AF44" s="147"/>
      <c r="AG44" s="147"/>
      <c r="AH44" s="148">
        <v>46206</v>
      </c>
    </row>
    <row r="45" spans="1:35" s="149" customFormat="1" ht="33" x14ac:dyDescent="0.25">
      <c r="A45" s="141">
        <v>6</v>
      </c>
      <c r="B45" s="142"/>
      <c r="C45" s="143" t="s">
        <v>148</v>
      </c>
      <c r="D45" s="141" t="s">
        <v>132</v>
      </c>
      <c r="E45" s="141" t="s">
        <v>172</v>
      </c>
      <c r="F45" s="150" t="s">
        <v>173</v>
      </c>
      <c r="G45" s="150"/>
      <c r="H45" s="144">
        <v>9612869200</v>
      </c>
      <c r="I45" s="145"/>
      <c r="J45" s="145"/>
      <c r="K45" s="146"/>
      <c r="L45" s="99" t="s">
        <v>167</v>
      </c>
      <c r="M45" s="147">
        <v>46202</v>
      </c>
      <c r="N45" s="147"/>
      <c r="O45" s="147"/>
      <c r="P45" s="147">
        <f>IF(NOT(ISNUMBER(AH45)),"N/A",AH45-11)</f>
        <v>46227</v>
      </c>
      <c r="Q45" s="147"/>
      <c r="R45" s="147"/>
      <c r="S45" s="147">
        <f>IF(NOT(ISNUMBER(AH45)),"N/A",AH45-9)</f>
        <v>46229</v>
      </c>
      <c r="T45" s="147"/>
      <c r="U45" s="147"/>
      <c r="V45" s="147">
        <f>IF(NOT(ISNUMBER(AH45)),"N/A",AH45-8)</f>
        <v>46230</v>
      </c>
      <c r="W45" s="147"/>
      <c r="X45" s="147"/>
      <c r="Y45" s="147">
        <f>IF(NOT(ISNUMBER(AH45)),"N/A",AH45-7)</f>
        <v>46231</v>
      </c>
      <c r="Z45" s="147"/>
      <c r="AA45" s="147"/>
      <c r="AB45" s="147">
        <f>IF(NOT(ISNUMBER(AH45)),"N/A",AH45-6)</f>
        <v>46232</v>
      </c>
      <c r="AC45" s="147"/>
      <c r="AD45" s="147"/>
      <c r="AE45" s="147">
        <f>IF(NOT(ISNUMBER(AH45)),"N/A",AH45-2)</f>
        <v>46236</v>
      </c>
      <c r="AF45" s="147"/>
      <c r="AG45" s="147"/>
      <c r="AH45" s="148">
        <v>46238</v>
      </c>
    </row>
    <row r="46" spans="1:35" s="94" customFormat="1" ht="30" customHeight="1" x14ac:dyDescent="0.25">
      <c r="A46" s="69">
        <v>4</v>
      </c>
      <c r="B46" s="85"/>
      <c r="C46" s="65" t="s">
        <v>138</v>
      </c>
      <c r="D46" s="69" t="s">
        <v>132</v>
      </c>
      <c r="E46" s="69" t="s">
        <v>133</v>
      </c>
      <c r="F46" s="69"/>
      <c r="G46" s="69" t="s">
        <v>180</v>
      </c>
      <c r="H46" s="87">
        <v>2479835800</v>
      </c>
      <c r="I46" s="124"/>
      <c r="J46" s="124"/>
      <c r="K46" s="125"/>
      <c r="L46" s="140" t="s">
        <v>190</v>
      </c>
      <c r="M46" s="127" t="str">
        <f t="shared" si="6"/>
        <v>N/A</v>
      </c>
      <c r="N46" s="127"/>
      <c r="O46" s="127"/>
      <c r="P46" s="127" t="str">
        <f t="shared" si="7"/>
        <v>N/A</v>
      </c>
      <c r="Q46" s="127">
        <v>46199</v>
      </c>
      <c r="R46" s="127"/>
      <c r="S46" s="127" t="str">
        <f t="shared" si="8"/>
        <v>N/A</v>
      </c>
      <c r="T46" s="127"/>
      <c r="U46" s="127"/>
      <c r="V46" s="127" t="str">
        <f t="shared" si="9"/>
        <v>N/A</v>
      </c>
      <c r="W46" s="127"/>
      <c r="X46" s="127"/>
      <c r="Y46" s="127" t="str">
        <f t="shared" si="10"/>
        <v>N/A</v>
      </c>
      <c r="Z46" s="127"/>
      <c r="AA46" s="127"/>
      <c r="AB46" s="127" t="str">
        <f t="shared" si="11"/>
        <v>N/A</v>
      </c>
      <c r="AC46" s="127"/>
      <c r="AD46" s="127"/>
      <c r="AE46" s="127" t="str">
        <f t="shared" si="12"/>
        <v>N/A</v>
      </c>
      <c r="AF46" s="127"/>
      <c r="AG46" s="127"/>
      <c r="AH46" s="63"/>
    </row>
    <row r="47" spans="1:35" s="94" customFormat="1" ht="33" x14ac:dyDescent="0.25">
      <c r="A47" s="69">
        <v>9</v>
      </c>
      <c r="B47" s="152"/>
      <c r="C47" s="65" t="s">
        <v>157</v>
      </c>
      <c r="D47" s="69" t="s">
        <v>132</v>
      </c>
      <c r="E47" s="69" t="s">
        <v>171</v>
      </c>
      <c r="F47" s="65"/>
      <c r="G47" s="65" t="s">
        <v>175</v>
      </c>
      <c r="H47" s="153">
        <v>2405000000</v>
      </c>
      <c r="I47" s="154"/>
      <c r="J47" s="154"/>
      <c r="K47" s="155"/>
      <c r="L47" s="156" t="s">
        <v>190</v>
      </c>
      <c r="M47" s="91" t="str">
        <f>IF(NOT(ISNUMBER(AH47)),"N/A",AH47-14)</f>
        <v>N/A</v>
      </c>
      <c r="N47" s="91"/>
      <c r="O47" s="91"/>
      <c r="P47" s="91" t="str">
        <f>IF(NOT(ISNUMBER(AH47)),"N/A",AH47-11)</f>
        <v>N/A</v>
      </c>
      <c r="Q47" s="91"/>
      <c r="R47" s="91"/>
      <c r="S47" s="91" t="str">
        <f>IF(NOT(ISNUMBER(AH47)),"N/A",AH47-9)</f>
        <v>N/A</v>
      </c>
      <c r="T47" s="91"/>
      <c r="U47" s="91"/>
      <c r="V47" s="91" t="str">
        <f>IF(NOT(ISNUMBER(AH47)),"N/A",AH47-8)</f>
        <v>N/A</v>
      </c>
      <c r="W47" s="91"/>
      <c r="X47" s="91"/>
      <c r="Y47" s="91" t="str">
        <f>IF(NOT(ISNUMBER(AH47)),"N/A",AH47-7)</f>
        <v>N/A</v>
      </c>
      <c r="Z47" s="91"/>
      <c r="AA47" s="91"/>
      <c r="AB47" s="91" t="str">
        <f>IF(NOT(ISNUMBER(AH47)),"N/A",AH47-6)</f>
        <v>N/A</v>
      </c>
      <c r="AC47" s="91"/>
      <c r="AD47" s="91"/>
      <c r="AE47" s="91" t="str">
        <f>IF(NOT(ISNUMBER(AH47)),"N/A",AH47-2)</f>
        <v>N/A</v>
      </c>
      <c r="AF47" s="91"/>
      <c r="AG47" s="91"/>
      <c r="AH47" s="63"/>
    </row>
    <row r="48" spans="1:35" s="94" customFormat="1" ht="30.75" customHeight="1" x14ac:dyDescent="0.25">
      <c r="A48" s="69">
        <v>8</v>
      </c>
      <c r="B48" s="85"/>
      <c r="C48" s="65" t="s">
        <v>152</v>
      </c>
      <c r="D48" s="69" t="s">
        <v>153</v>
      </c>
      <c r="E48" s="69" t="s">
        <v>154</v>
      </c>
      <c r="F48" s="69"/>
      <c r="G48" s="69" t="s">
        <v>181</v>
      </c>
      <c r="H48" s="87">
        <v>41462300</v>
      </c>
      <c r="I48" s="124"/>
      <c r="J48" s="124"/>
      <c r="K48" s="125"/>
      <c r="L48" s="140" t="s">
        <v>168</v>
      </c>
      <c r="M48" s="127" t="str">
        <f>IF(NOT(ISNUMBER(AH48)),"N/A",AH48-14)</f>
        <v>N/A</v>
      </c>
      <c r="N48" s="127"/>
      <c r="O48" s="127"/>
      <c r="P48" s="127" t="str">
        <f>IF(NOT(ISNUMBER(AH48)),"N/A",AH48-11)</f>
        <v>N/A</v>
      </c>
      <c r="Q48" s="127">
        <v>46210</v>
      </c>
      <c r="R48" s="127"/>
      <c r="S48" s="127" t="str">
        <f>IF(NOT(ISNUMBER(AH48)),"N/A",AH48-9)</f>
        <v>N/A</v>
      </c>
      <c r="T48" s="127"/>
      <c r="U48" s="127"/>
      <c r="V48" s="127" t="str">
        <f>IF(NOT(ISNUMBER(AH48)),"N/A",AH48-8)</f>
        <v>N/A</v>
      </c>
      <c r="W48" s="127"/>
      <c r="X48" s="127"/>
      <c r="Y48" s="127" t="str">
        <f>IF(NOT(ISNUMBER(AH48)),"N/A",AH48-7)</f>
        <v>N/A</v>
      </c>
      <c r="Z48" s="127"/>
      <c r="AA48" s="127"/>
      <c r="AB48" s="127" t="str">
        <f>IF(NOT(ISNUMBER(AH48)),"N/A",AH48-6)</f>
        <v>N/A</v>
      </c>
      <c r="AC48" s="127"/>
      <c r="AD48" s="127"/>
      <c r="AE48" s="127" t="str">
        <f>IF(NOT(ISNUMBER(AH48)),"N/A",AH48-2)</f>
        <v>N/A</v>
      </c>
      <c r="AF48" s="127"/>
      <c r="AG48" s="127"/>
      <c r="AH48" s="63"/>
    </row>
    <row r="49" spans="1:35" s="94" customFormat="1" ht="33" customHeight="1" x14ac:dyDescent="0.25">
      <c r="A49" s="69">
        <v>10</v>
      </c>
      <c r="B49" s="85"/>
      <c r="C49" s="65" t="s">
        <v>159</v>
      </c>
      <c r="D49" s="69" t="s">
        <v>160</v>
      </c>
      <c r="E49" s="69" t="s">
        <v>161</v>
      </c>
      <c r="F49" s="69"/>
      <c r="G49" s="69" t="s">
        <v>188</v>
      </c>
      <c r="H49" s="87"/>
      <c r="I49" s="124"/>
      <c r="J49" s="124"/>
      <c r="K49" s="125"/>
      <c r="L49" s="140" t="s">
        <v>168</v>
      </c>
      <c r="M49" s="127" t="str">
        <f>IF(NOT(ISNUMBER(AH49)),"N/A",AH49-14)</f>
        <v>N/A</v>
      </c>
      <c r="N49" s="127"/>
      <c r="O49" s="127"/>
      <c r="P49" s="127" t="str">
        <f>IF(NOT(ISNUMBER(AH49)),"N/A",AH49-11)</f>
        <v>N/A</v>
      </c>
      <c r="Q49" s="91">
        <v>46218</v>
      </c>
      <c r="R49" s="127"/>
      <c r="S49" s="127" t="str">
        <f>IF(NOT(ISNUMBER(AH49)),"N/A",AH49-9)</f>
        <v>N/A</v>
      </c>
      <c r="T49" s="127"/>
      <c r="U49" s="127"/>
      <c r="V49" s="127" t="str">
        <f>IF(NOT(ISNUMBER(AH49)),"N/A",AH49-8)</f>
        <v>N/A</v>
      </c>
      <c r="W49" s="127"/>
      <c r="X49" s="127"/>
      <c r="Y49" s="127" t="str">
        <f>IF(NOT(ISNUMBER(AH49)),"N/A",AH49-7)</f>
        <v>N/A</v>
      </c>
      <c r="Z49" s="127"/>
      <c r="AA49" s="127"/>
      <c r="AB49" s="127" t="str">
        <f>IF(NOT(ISNUMBER(AH49)),"N/A",AH49-6)</f>
        <v>N/A</v>
      </c>
      <c r="AC49" s="127"/>
      <c r="AD49" s="127"/>
      <c r="AE49" s="127" t="str">
        <f>IF(NOT(ISNUMBER(AH49)),"N/A",AH49-2)</f>
        <v>N/A</v>
      </c>
      <c r="AF49" s="127"/>
      <c r="AG49" s="127"/>
      <c r="AH49" s="63"/>
    </row>
    <row r="50" spans="1:35" s="94" customFormat="1" ht="55.15" customHeight="1" x14ac:dyDescent="0.25">
      <c r="A50" s="136">
        <v>13</v>
      </c>
      <c r="B50" s="85"/>
      <c r="C50" s="138" t="s">
        <v>166</v>
      </c>
      <c r="D50" s="136" t="s">
        <v>132</v>
      </c>
      <c r="E50" s="136" t="s">
        <v>163</v>
      </c>
      <c r="F50" s="136"/>
      <c r="G50" s="138" t="s">
        <v>189</v>
      </c>
      <c r="H50" s="139">
        <v>287580000</v>
      </c>
      <c r="I50" s="124"/>
      <c r="J50" s="124"/>
      <c r="K50" s="125"/>
      <c r="L50" s="135" t="s">
        <v>169</v>
      </c>
      <c r="M50" s="127" t="str">
        <f>IF(NOT(ISNUMBER(AH50)),"N/A",AH50-14)</f>
        <v>N/A</v>
      </c>
      <c r="N50" s="127"/>
      <c r="O50" s="127"/>
      <c r="P50" s="127" t="str">
        <f>IF(NOT(ISNUMBER(AH50)),"N/A",AH50-11)</f>
        <v>N/A</v>
      </c>
      <c r="Q50" s="127"/>
      <c r="R50" s="127"/>
      <c r="S50" s="127" t="str">
        <f>IF(NOT(ISNUMBER(AH50)),"N/A",AH50-9)</f>
        <v>N/A</v>
      </c>
      <c r="T50" s="127"/>
      <c r="U50" s="127"/>
      <c r="V50" s="127" t="str">
        <f>IF(NOT(ISNUMBER(AH50)),"N/A",AH50-8)</f>
        <v>N/A</v>
      </c>
      <c r="W50" s="127"/>
      <c r="X50" s="127"/>
      <c r="Y50" s="127" t="str">
        <f>IF(NOT(ISNUMBER(AH50)),"N/A",AH50-7)</f>
        <v>N/A</v>
      </c>
      <c r="Z50" s="127"/>
      <c r="AA50" s="127"/>
      <c r="AB50" s="127" t="str">
        <f>IF(NOT(ISNUMBER(AH50)),"N/A",AH50-6)</f>
        <v>N/A</v>
      </c>
      <c r="AC50" s="127"/>
      <c r="AD50" s="127"/>
      <c r="AE50" s="127" t="str">
        <f>IF(NOT(ISNUMBER(AH50)),"N/A",AH50-2)</f>
        <v>N/A</v>
      </c>
      <c r="AF50" s="127"/>
      <c r="AG50" s="127"/>
      <c r="AH50" s="63"/>
    </row>
    <row r="51" spans="1:35" s="94" customFormat="1" ht="36" customHeight="1" x14ac:dyDescent="0.25">
      <c r="A51" s="69">
        <v>5</v>
      </c>
      <c r="B51" s="85"/>
      <c r="C51" s="65" t="s">
        <v>170</v>
      </c>
      <c r="D51" s="69" t="s">
        <v>137</v>
      </c>
      <c r="E51" s="69" t="s">
        <v>145</v>
      </c>
      <c r="F51" s="69"/>
      <c r="G51" s="69" t="s">
        <v>179</v>
      </c>
      <c r="H51" s="87">
        <v>35502300</v>
      </c>
      <c r="I51" s="124"/>
      <c r="J51" s="124"/>
      <c r="K51" s="125"/>
      <c r="L51" s="126" t="s">
        <v>158</v>
      </c>
      <c r="M51" s="127">
        <f t="shared" si="6"/>
        <v>46204</v>
      </c>
      <c r="N51" s="127">
        <v>46202</v>
      </c>
      <c r="O51" s="127"/>
      <c r="P51" s="127">
        <f t="shared" si="7"/>
        <v>46207</v>
      </c>
      <c r="Q51" s="127">
        <v>46211</v>
      </c>
      <c r="R51" s="127" t="s">
        <v>183</v>
      </c>
      <c r="S51" s="127">
        <f t="shared" si="8"/>
        <v>46209</v>
      </c>
      <c r="T51" s="127">
        <v>46211</v>
      </c>
      <c r="U51" s="157" t="s">
        <v>182</v>
      </c>
      <c r="V51" s="127">
        <f t="shared" si="9"/>
        <v>46210</v>
      </c>
      <c r="W51" s="127">
        <v>46211</v>
      </c>
      <c r="X51" s="127"/>
      <c r="Y51" s="127">
        <f t="shared" si="10"/>
        <v>46211</v>
      </c>
      <c r="Z51" s="127">
        <v>46213</v>
      </c>
      <c r="AA51" s="127"/>
      <c r="AB51" s="127">
        <f t="shared" si="11"/>
        <v>46212</v>
      </c>
      <c r="AC51" s="127"/>
      <c r="AD51" s="127" t="s">
        <v>184</v>
      </c>
      <c r="AE51" s="127">
        <f t="shared" si="12"/>
        <v>46216</v>
      </c>
      <c r="AF51" s="127">
        <v>46217</v>
      </c>
      <c r="AG51" s="127"/>
      <c r="AH51" s="63">
        <v>46218</v>
      </c>
      <c r="AI51" s="94" t="s">
        <v>146</v>
      </c>
    </row>
    <row r="52" spans="1:35" s="94" customFormat="1" ht="51.6" customHeight="1" x14ac:dyDescent="0.25">
      <c r="A52" s="69">
        <v>7</v>
      </c>
      <c r="B52" s="85"/>
      <c r="C52" s="65" t="s">
        <v>151</v>
      </c>
      <c r="D52" s="69" t="s">
        <v>137</v>
      </c>
      <c r="E52" s="69" t="s">
        <v>150</v>
      </c>
      <c r="F52" s="65"/>
      <c r="G52" s="65" t="s">
        <v>174</v>
      </c>
      <c r="H52" s="87">
        <v>10206600</v>
      </c>
      <c r="I52" s="124"/>
      <c r="J52" s="124"/>
      <c r="K52" s="125"/>
      <c r="L52" s="126" t="s">
        <v>158</v>
      </c>
      <c r="M52" s="127">
        <f t="shared" si="6"/>
        <v>46192</v>
      </c>
      <c r="N52" s="127">
        <v>46198</v>
      </c>
      <c r="O52" s="157" t="s">
        <v>186</v>
      </c>
      <c r="P52" s="127">
        <f t="shared" si="7"/>
        <v>46195</v>
      </c>
      <c r="Q52" s="127" t="s">
        <v>187</v>
      </c>
      <c r="R52" s="127"/>
      <c r="S52" s="127">
        <f t="shared" si="8"/>
        <v>46197</v>
      </c>
      <c r="T52" s="127">
        <v>46202</v>
      </c>
      <c r="U52" s="127"/>
      <c r="V52" s="127">
        <f t="shared" si="9"/>
        <v>46198</v>
      </c>
      <c r="W52" s="127">
        <v>46204</v>
      </c>
      <c r="X52" s="127" t="s">
        <v>149</v>
      </c>
      <c r="Y52" s="127">
        <f t="shared" si="10"/>
        <v>46199</v>
      </c>
      <c r="Z52" s="127">
        <v>46205</v>
      </c>
      <c r="AA52" s="127"/>
      <c r="AB52" s="127">
        <f t="shared" si="11"/>
        <v>46200</v>
      </c>
      <c r="AC52" s="127"/>
      <c r="AD52" s="157" t="s">
        <v>185</v>
      </c>
      <c r="AE52" s="127">
        <f t="shared" si="12"/>
        <v>46204</v>
      </c>
      <c r="AF52" s="127">
        <v>46206</v>
      </c>
      <c r="AG52" s="127"/>
      <c r="AH52" s="63">
        <v>46206</v>
      </c>
    </row>
    <row r="53" spans="1:35" s="94" customFormat="1" ht="33" x14ac:dyDescent="0.25">
      <c r="A53" s="69">
        <v>11</v>
      </c>
      <c r="B53" s="85"/>
      <c r="C53" s="65" t="s">
        <v>162</v>
      </c>
      <c r="D53" s="69" t="s">
        <v>132</v>
      </c>
      <c r="E53" s="69" t="s">
        <v>163</v>
      </c>
      <c r="F53" s="69"/>
      <c r="G53" s="69" t="s">
        <v>178</v>
      </c>
      <c r="H53" s="87">
        <v>250000000</v>
      </c>
      <c r="I53" s="124"/>
      <c r="J53" s="124"/>
      <c r="K53" s="125"/>
      <c r="L53" s="126" t="s">
        <v>158</v>
      </c>
      <c r="M53" s="127">
        <f>IF(NOT(ISNUMBER(AH53)),"N/A",AH53-14)</f>
        <v>46244</v>
      </c>
      <c r="N53" s="127">
        <v>46222</v>
      </c>
      <c r="O53" s="127"/>
      <c r="P53" s="127">
        <f>IF(NOT(ISNUMBER(AH53)),"N/A",AH53-11)</f>
        <v>46247</v>
      </c>
      <c r="Q53" s="127">
        <v>46230</v>
      </c>
      <c r="R53" s="127"/>
      <c r="S53" s="127">
        <f>IF(NOT(ISNUMBER(AH53)),"N/A",AH53-9)</f>
        <v>46249</v>
      </c>
      <c r="T53" s="127">
        <v>46240</v>
      </c>
      <c r="U53" s="127"/>
      <c r="V53" s="127">
        <f>IF(NOT(ISNUMBER(AH53)),"N/A",AH53-8)</f>
        <v>46250</v>
      </c>
      <c r="W53" s="127">
        <v>46241</v>
      </c>
      <c r="X53" s="127"/>
      <c r="Y53" s="127">
        <f>IF(NOT(ISNUMBER(AH53)),"N/A",AH53-7)</f>
        <v>46251</v>
      </c>
      <c r="Z53" s="127">
        <v>46247</v>
      </c>
      <c r="AA53" s="127"/>
      <c r="AB53" s="127">
        <f>IF(NOT(ISNUMBER(AH53)),"N/A",AH53-6)</f>
        <v>46252</v>
      </c>
      <c r="AC53" s="127"/>
      <c r="AD53" s="127"/>
      <c r="AE53" s="127">
        <f>IF(NOT(ISNUMBER(AH53)),"N/A",AH53-2)</f>
        <v>46256</v>
      </c>
      <c r="AF53" s="127"/>
      <c r="AG53" s="127"/>
      <c r="AH53" s="63">
        <v>46258</v>
      </c>
    </row>
    <row r="54" spans="1:35" s="94" customFormat="1" ht="39" customHeight="1" x14ac:dyDescent="0.25">
      <c r="A54" s="136">
        <v>12</v>
      </c>
      <c r="B54" s="137"/>
      <c r="C54" s="138" t="s">
        <v>164</v>
      </c>
      <c r="D54" s="136" t="s">
        <v>153</v>
      </c>
      <c r="E54" s="136" t="s">
        <v>165</v>
      </c>
      <c r="F54" s="136"/>
      <c r="G54" s="138" t="s">
        <v>177</v>
      </c>
      <c r="H54" s="139">
        <v>130655259</v>
      </c>
      <c r="I54" s="124"/>
      <c r="J54" s="124"/>
      <c r="K54" s="125"/>
      <c r="L54" s="126" t="s">
        <v>158</v>
      </c>
      <c r="M54" s="127">
        <f>IF(NOT(ISNUMBER(AH54)),"N/A",AH54-14)</f>
        <v>46245</v>
      </c>
      <c r="N54" s="127"/>
      <c r="O54" s="127"/>
      <c r="P54" s="127">
        <f>IF(NOT(ISNUMBER(AH54)),"N/A",AH54-11)</f>
        <v>46248</v>
      </c>
      <c r="Q54" s="127"/>
      <c r="R54" s="127"/>
      <c r="S54" s="127">
        <f>IF(NOT(ISNUMBER(AH54)),"N/A",AH54-9)</f>
        <v>46250</v>
      </c>
      <c r="T54" s="127"/>
      <c r="U54" s="127"/>
      <c r="V54" s="127">
        <f>IF(NOT(ISNUMBER(AH54)),"N/A",AH54-8)</f>
        <v>46251</v>
      </c>
      <c r="W54" s="127"/>
      <c r="X54" s="127"/>
      <c r="Y54" s="127">
        <f>IF(NOT(ISNUMBER(AH54)),"N/A",AH54-7)</f>
        <v>46252</v>
      </c>
      <c r="Z54" s="127"/>
      <c r="AA54" s="127"/>
      <c r="AB54" s="127">
        <f>IF(NOT(ISNUMBER(AH54)),"N/A",AH54-6)</f>
        <v>46253</v>
      </c>
      <c r="AC54" s="127"/>
      <c r="AD54" s="127"/>
      <c r="AE54" s="127">
        <f>IF(NOT(ISNUMBER(AH54)),"N/A",AH54-2)</f>
        <v>46257</v>
      </c>
      <c r="AF54" s="127"/>
      <c r="AG54" s="127"/>
      <c r="AH54" s="63">
        <v>46259</v>
      </c>
    </row>
    <row r="55" spans="1:35" s="94" customFormat="1" x14ac:dyDescent="0.25">
      <c r="A55" s="69">
        <v>14</v>
      </c>
      <c r="B55" s="85"/>
      <c r="C55" s="65"/>
      <c r="D55" s="69"/>
      <c r="E55" s="69"/>
      <c r="F55" s="69"/>
      <c r="G55" s="69"/>
      <c r="H55" s="87"/>
      <c r="I55" s="124"/>
      <c r="J55" s="124"/>
      <c r="K55" s="125"/>
      <c r="L55" s="128"/>
      <c r="M55" s="127" t="str">
        <f t="shared" si="6"/>
        <v>N/A</v>
      </c>
      <c r="N55" s="127"/>
      <c r="O55" s="127"/>
      <c r="P55" s="127" t="str">
        <f t="shared" si="7"/>
        <v>N/A</v>
      </c>
      <c r="Q55" s="127"/>
      <c r="R55" s="127"/>
      <c r="S55" s="127" t="str">
        <f t="shared" si="8"/>
        <v>N/A</v>
      </c>
      <c r="T55" s="127"/>
      <c r="U55" s="127"/>
      <c r="V55" s="127" t="str">
        <f t="shared" si="9"/>
        <v>N/A</v>
      </c>
      <c r="W55" s="127"/>
      <c r="X55" s="127"/>
      <c r="Y55" s="127" t="str">
        <f t="shared" si="10"/>
        <v>N/A</v>
      </c>
      <c r="Z55" s="127"/>
      <c r="AA55" s="127"/>
      <c r="AB55" s="127" t="str">
        <f t="shared" si="11"/>
        <v>N/A</v>
      </c>
      <c r="AC55" s="127"/>
      <c r="AD55" s="127"/>
      <c r="AE55" s="127" t="str">
        <f t="shared" si="12"/>
        <v>N/A</v>
      </c>
      <c r="AF55" s="127"/>
      <c r="AG55" s="127"/>
      <c r="AH55" s="63"/>
    </row>
    <row r="56" spans="1:35" s="94" customFormat="1" x14ac:dyDescent="0.25">
      <c r="A56" s="69">
        <v>15</v>
      </c>
      <c r="B56" s="85"/>
      <c r="C56" s="65"/>
      <c r="D56" s="69"/>
      <c r="E56" s="69"/>
      <c r="F56" s="69"/>
      <c r="G56" s="69"/>
      <c r="H56" s="87"/>
      <c r="I56" s="124"/>
      <c r="J56" s="124"/>
      <c r="K56" s="125"/>
      <c r="L56" s="128"/>
      <c r="M56" s="127" t="str">
        <f t="shared" si="6"/>
        <v>N/A</v>
      </c>
      <c r="N56" s="127"/>
      <c r="O56" s="127"/>
      <c r="P56" s="127" t="str">
        <f t="shared" si="7"/>
        <v>N/A</v>
      </c>
      <c r="Q56" s="127"/>
      <c r="R56" s="127"/>
      <c r="S56" s="127" t="str">
        <f t="shared" si="8"/>
        <v>N/A</v>
      </c>
      <c r="T56" s="127"/>
      <c r="U56" s="127"/>
      <c r="V56" s="127" t="str">
        <f t="shared" si="9"/>
        <v>N/A</v>
      </c>
      <c r="W56" s="127"/>
      <c r="X56" s="127"/>
      <c r="Y56" s="127" t="str">
        <f t="shared" si="10"/>
        <v>N/A</v>
      </c>
      <c r="Z56" s="127"/>
      <c r="AA56" s="127"/>
      <c r="AB56" s="127" t="str">
        <f t="shared" si="11"/>
        <v>N/A</v>
      </c>
      <c r="AC56" s="127"/>
      <c r="AD56" s="127"/>
      <c r="AE56" s="127" t="str">
        <f t="shared" si="12"/>
        <v>N/A</v>
      </c>
      <c r="AF56" s="127"/>
      <c r="AG56" s="127"/>
      <c r="AH56" s="63"/>
    </row>
    <row r="57" spans="1:35" s="94" customFormat="1" x14ac:dyDescent="0.25">
      <c r="A57" s="69">
        <v>16</v>
      </c>
      <c r="B57" s="85"/>
      <c r="C57" s="65"/>
      <c r="D57" s="69"/>
      <c r="E57" s="69"/>
      <c r="F57" s="69"/>
      <c r="G57" s="69"/>
      <c r="H57" s="87"/>
      <c r="I57" s="124"/>
      <c r="J57" s="124"/>
      <c r="K57" s="125"/>
      <c r="L57" s="128"/>
      <c r="M57" s="127" t="str">
        <f t="shared" si="6"/>
        <v>N/A</v>
      </c>
      <c r="N57" s="127"/>
      <c r="O57" s="127"/>
      <c r="P57" s="127" t="str">
        <f t="shared" si="7"/>
        <v>N/A</v>
      </c>
      <c r="Q57" s="127"/>
      <c r="R57" s="127"/>
      <c r="S57" s="127" t="str">
        <f t="shared" si="8"/>
        <v>N/A</v>
      </c>
      <c r="T57" s="127"/>
      <c r="U57" s="127"/>
      <c r="V57" s="127" t="str">
        <f t="shared" si="9"/>
        <v>N/A</v>
      </c>
      <c r="W57" s="127"/>
      <c r="X57" s="127"/>
      <c r="Y57" s="127" t="str">
        <f t="shared" si="10"/>
        <v>N/A</v>
      </c>
      <c r="Z57" s="127"/>
      <c r="AA57" s="127"/>
      <c r="AB57" s="127" t="str">
        <f t="shared" si="11"/>
        <v>N/A</v>
      </c>
      <c r="AC57" s="127"/>
      <c r="AD57" s="127"/>
      <c r="AE57" s="127" t="str">
        <f t="shared" si="12"/>
        <v>N/A</v>
      </c>
      <c r="AF57" s="127"/>
      <c r="AG57" s="127"/>
      <c r="AH57" s="63"/>
    </row>
    <row r="58" spans="1:35" s="94" customFormat="1" x14ac:dyDescent="0.25">
      <c r="A58" s="69">
        <v>17</v>
      </c>
      <c r="B58" s="85"/>
      <c r="D58" s="69"/>
      <c r="E58" s="69"/>
      <c r="F58" s="69"/>
      <c r="G58" s="69"/>
      <c r="H58" s="87"/>
      <c r="I58" s="124"/>
      <c r="J58" s="124"/>
      <c r="K58" s="125"/>
      <c r="L58" s="128"/>
      <c r="M58" s="127" t="str">
        <f t="shared" si="6"/>
        <v>N/A</v>
      </c>
      <c r="N58" s="127"/>
      <c r="O58" s="127"/>
      <c r="P58" s="127" t="str">
        <f t="shared" si="7"/>
        <v>N/A</v>
      </c>
      <c r="Q58" s="127"/>
      <c r="R58" s="127"/>
      <c r="S58" s="127" t="str">
        <f t="shared" si="8"/>
        <v>N/A</v>
      </c>
      <c r="T58" s="127"/>
      <c r="U58" s="127"/>
      <c r="V58" s="127" t="str">
        <f t="shared" si="9"/>
        <v>N/A</v>
      </c>
      <c r="W58" s="127"/>
      <c r="X58" s="127"/>
      <c r="Y58" s="127" t="str">
        <f t="shared" si="10"/>
        <v>N/A</v>
      </c>
      <c r="Z58" s="127"/>
      <c r="AA58" s="127"/>
      <c r="AB58" s="127" t="str">
        <f t="shared" si="11"/>
        <v>N/A</v>
      </c>
      <c r="AC58" s="127"/>
      <c r="AD58" s="127"/>
      <c r="AE58" s="127" t="str">
        <f t="shared" si="12"/>
        <v>N/A</v>
      </c>
      <c r="AF58" s="127"/>
      <c r="AG58" s="127"/>
      <c r="AH58" s="63"/>
    </row>
    <row r="59" spans="1:35" s="94" customFormat="1" x14ac:dyDescent="0.25">
      <c r="A59" s="69">
        <v>18</v>
      </c>
      <c r="B59" s="85"/>
      <c r="C59" s="65"/>
      <c r="D59" s="69"/>
      <c r="E59" s="69"/>
      <c r="F59" s="69"/>
      <c r="G59" s="69"/>
      <c r="H59" s="87"/>
      <c r="I59" s="124"/>
      <c r="J59" s="124"/>
      <c r="K59" s="125"/>
      <c r="L59" s="128"/>
      <c r="M59" s="127" t="str">
        <f t="shared" si="6"/>
        <v>N/A</v>
      </c>
      <c r="N59" s="127"/>
      <c r="O59" s="127"/>
      <c r="P59" s="127" t="str">
        <f t="shared" si="7"/>
        <v>N/A</v>
      </c>
      <c r="Q59" s="127"/>
      <c r="R59" s="127"/>
      <c r="S59" s="127" t="str">
        <f t="shared" si="8"/>
        <v>N/A</v>
      </c>
      <c r="T59" s="127"/>
      <c r="U59" s="127"/>
      <c r="V59" s="127" t="str">
        <f t="shared" si="9"/>
        <v>N/A</v>
      </c>
      <c r="W59" s="127"/>
      <c r="X59" s="127"/>
      <c r="Y59" s="127" t="str">
        <f t="shared" si="10"/>
        <v>N/A</v>
      </c>
      <c r="Z59" s="127"/>
      <c r="AA59" s="127"/>
      <c r="AB59" s="127" t="str">
        <f t="shared" si="11"/>
        <v>N/A</v>
      </c>
      <c r="AC59" s="127"/>
      <c r="AD59" s="127"/>
      <c r="AE59" s="127" t="str">
        <f t="shared" si="12"/>
        <v>N/A</v>
      </c>
      <c r="AF59" s="127"/>
      <c r="AG59" s="127"/>
      <c r="AH59" s="63"/>
    </row>
    <row r="60" spans="1:35" s="94" customFormat="1" x14ac:dyDescent="0.25">
      <c r="A60" s="69">
        <v>19</v>
      </c>
      <c r="B60" s="85"/>
      <c r="C60" s="65"/>
      <c r="D60" s="69"/>
      <c r="E60" s="69"/>
      <c r="F60" s="69"/>
      <c r="G60" s="69"/>
      <c r="H60" s="87"/>
      <c r="I60" s="124"/>
      <c r="J60" s="124"/>
      <c r="K60" s="125"/>
      <c r="L60" s="128"/>
      <c r="M60" s="127" t="str">
        <f t="shared" si="6"/>
        <v>N/A</v>
      </c>
      <c r="N60" s="127"/>
      <c r="O60" s="127"/>
      <c r="P60" s="127" t="str">
        <f t="shared" si="7"/>
        <v>N/A</v>
      </c>
      <c r="Q60" s="127"/>
      <c r="R60" s="127"/>
      <c r="S60" s="127" t="str">
        <f t="shared" si="8"/>
        <v>N/A</v>
      </c>
      <c r="T60" s="127"/>
      <c r="U60" s="127"/>
      <c r="V60" s="127" t="str">
        <f t="shared" si="9"/>
        <v>N/A</v>
      </c>
      <c r="W60" s="127"/>
      <c r="X60" s="127"/>
      <c r="Y60" s="127" t="str">
        <f t="shared" si="10"/>
        <v>N/A</v>
      </c>
      <c r="Z60" s="127"/>
      <c r="AA60" s="127"/>
      <c r="AB60" s="127" t="str">
        <f t="shared" si="11"/>
        <v>N/A</v>
      </c>
      <c r="AC60" s="127"/>
      <c r="AD60" s="127"/>
      <c r="AE60" s="127" t="str">
        <f t="shared" si="12"/>
        <v>N/A</v>
      </c>
      <c r="AF60" s="127"/>
      <c r="AG60" s="127"/>
      <c r="AH60" s="63"/>
    </row>
    <row r="61" spans="1:35" s="94" customFormat="1" x14ac:dyDescent="0.25">
      <c r="A61" s="69">
        <v>20</v>
      </c>
      <c r="B61" s="85"/>
      <c r="C61" s="65"/>
      <c r="D61" s="69"/>
      <c r="E61" s="69"/>
      <c r="F61" s="69"/>
      <c r="G61" s="69"/>
      <c r="H61" s="87"/>
      <c r="I61" s="124"/>
      <c r="J61" s="124"/>
      <c r="K61" s="125"/>
      <c r="L61" s="128"/>
      <c r="M61" s="127" t="str">
        <f t="shared" si="6"/>
        <v>N/A</v>
      </c>
      <c r="N61" s="127"/>
      <c r="O61" s="127"/>
      <c r="P61" s="127" t="str">
        <f t="shared" si="7"/>
        <v>N/A</v>
      </c>
      <c r="Q61" s="127"/>
      <c r="R61" s="127"/>
      <c r="S61" s="127" t="str">
        <f t="shared" si="8"/>
        <v>N/A</v>
      </c>
      <c r="T61" s="127"/>
      <c r="U61" s="127"/>
      <c r="V61" s="127" t="str">
        <f t="shared" si="9"/>
        <v>N/A</v>
      </c>
      <c r="W61" s="127"/>
      <c r="X61" s="127"/>
      <c r="Y61" s="127" t="str">
        <f t="shared" si="10"/>
        <v>N/A</v>
      </c>
      <c r="Z61" s="127"/>
      <c r="AA61" s="127"/>
      <c r="AB61" s="127" t="str">
        <f t="shared" si="11"/>
        <v>N/A</v>
      </c>
      <c r="AC61" s="127"/>
      <c r="AD61" s="127"/>
      <c r="AE61" s="127" t="str">
        <f t="shared" si="12"/>
        <v>N/A</v>
      </c>
      <c r="AF61" s="127"/>
      <c r="AG61" s="127"/>
      <c r="AH61" s="63"/>
    </row>
    <row r="62" spans="1:35" s="94" customFormat="1" x14ac:dyDescent="0.25">
      <c r="A62" s="69">
        <v>21</v>
      </c>
      <c r="B62" s="85"/>
      <c r="C62" s="65"/>
      <c r="D62" s="69"/>
      <c r="E62" s="69"/>
      <c r="F62" s="69"/>
      <c r="G62" s="69"/>
      <c r="H62" s="87"/>
      <c r="I62" s="124"/>
      <c r="J62" s="124"/>
      <c r="K62" s="125"/>
      <c r="L62" s="128"/>
      <c r="M62" s="127" t="str">
        <f t="shared" si="6"/>
        <v>N/A</v>
      </c>
      <c r="N62" s="127"/>
      <c r="O62" s="127"/>
      <c r="P62" s="127" t="str">
        <f t="shared" si="7"/>
        <v>N/A</v>
      </c>
      <c r="Q62" s="127"/>
      <c r="R62" s="127"/>
      <c r="S62" s="127" t="str">
        <f t="shared" si="8"/>
        <v>N/A</v>
      </c>
      <c r="T62" s="127"/>
      <c r="U62" s="127"/>
      <c r="V62" s="127" t="str">
        <f t="shared" si="9"/>
        <v>N/A</v>
      </c>
      <c r="W62" s="127"/>
      <c r="X62" s="127"/>
      <c r="Y62" s="127" t="str">
        <f t="shared" si="10"/>
        <v>N/A</v>
      </c>
      <c r="Z62" s="127"/>
      <c r="AA62" s="127"/>
      <c r="AB62" s="127" t="str">
        <f t="shared" si="11"/>
        <v>N/A</v>
      </c>
      <c r="AC62" s="127"/>
      <c r="AD62" s="127"/>
      <c r="AE62" s="127" t="str">
        <f t="shared" si="12"/>
        <v>N/A</v>
      </c>
      <c r="AF62" s="127"/>
      <c r="AG62" s="127"/>
      <c r="AH62" s="63"/>
    </row>
    <row r="63" spans="1:35" s="94" customFormat="1" x14ac:dyDescent="0.25">
      <c r="A63" s="69">
        <v>22</v>
      </c>
      <c r="B63" s="85"/>
      <c r="C63" s="65"/>
      <c r="D63" s="69"/>
      <c r="E63" s="69"/>
      <c r="F63" s="69"/>
      <c r="G63" s="69"/>
      <c r="H63" s="87"/>
      <c r="I63" s="124"/>
      <c r="J63" s="124"/>
      <c r="K63" s="125"/>
      <c r="L63" s="128"/>
      <c r="M63" s="127" t="str">
        <f t="shared" si="6"/>
        <v>N/A</v>
      </c>
      <c r="N63" s="127"/>
      <c r="O63" s="127"/>
      <c r="P63" s="127" t="str">
        <f t="shared" si="7"/>
        <v>N/A</v>
      </c>
      <c r="Q63" s="127"/>
      <c r="R63" s="127"/>
      <c r="S63" s="127" t="str">
        <f t="shared" si="8"/>
        <v>N/A</v>
      </c>
      <c r="T63" s="127"/>
      <c r="U63" s="127"/>
      <c r="V63" s="127" t="str">
        <f t="shared" si="9"/>
        <v>N/A</v>
      </c>
      <c r="W63" s="127"/>
      <c r="X63" s="127"/>
      <c r="Y63" s="127" t="str">
        <f t="shared" si="10"/>
        <v>N/A</v>
      </c>
      <c r="Z63" s="127"/>
      <c r="AA63" s="127"/>
      <c r="AB63" s="127" t="str">
        <f t="shared" si="11"/>
        <v>N/A</v>
      </c>
      <c r="AC63" s="127"/>
      <c r="AD63" s="127"/>
      <c r="AE63" s="127" t="str">
        <f t="shared" si="12"/>
        <v>N/A</v>
      </c>
      <c r="AF63" s="127"/>
      <c r="AG63" s="127"/>
      <c r="AH63" s="63"/>
    </row>
    <row r="64" spans="1:35" s="94" customFormat="1" x14ac:dyDescent="0.25">
      <c r="A64" s="69">
        <v>23</v>
      </c>
      <c r="B64" s="85"/>
      <c r="C64" s="65"/>
      <c r="D64" s="69"/>
      <c r="E64" s="69"/>
      <c r="F64" s="69"/>
      <c r="G64" s="69"/>
      <c r="H64" s="87"/>
      <c r="I64" s="124"/>
      <c r="J64" s="124"/>
      <c r="K64" s="125"/>
      <c r="L64" s="128"/>
      <c r="M64" s="127" t="str">
        <f t="shared" si="6"/>
        <v>N/A</v>
      </c>
      <c r="N64" s="127"/>
      <c r="O64" s="127"/>
      <c r="P64" s="127" t="str">
        <f t="shared" si="7"/>
        <v>N/A</v>
      </c>
      <c r="Q64" s="127"/>
      <c r="R64" s="127"/>
      <c r="S64" s="127" t="str">
        <f t="shared" si="8"/>
        <v>N/A</v>
      </c>
      <c r="T64" s="127"/>
      <c r="U64" s="127"/>
      <c r="V64" s="127" t="str">
        <f t="shared" si="9"/>
        <v>N/A</v>
      </c>
      <c r="W64" s="127"/>
      <c r="X64" s="127"/>
      <c r="Y64" s="127" t="str">
        <f t="shared" si="10"/>
        <v>N/A</v>
      </c>
      <c r="Z64" s="127"/>
      <c r="AA64" s="127"/>
      <c r="AB64" s="127" t="str">
        <f t="shared" si="11"/>
        <v>N/A</v>
      </c>
      <c r="AC64" s="127"/>
      <c r="AD64" s="127"/>
      <c r="AE64" s="127" t="str">
        <f t="shared" si="12"/>
        <v>N/A</v>
      </c>
      <c r="AF64" s="127"/>
      <c r="AG64" s="127"/>
      <c r="AH64" s="63"/>
    </row>
    <row r="65" spans="1:34" s="94" customFormat="1" x14ac:dyDescent="0.25">
      <c r="A65" s="69">
        <v>24</v>
      </c>
      <c r="B65" s="85"/>
      <c r="C65" s="65"/>
      <c r="D65" s="69"/>
      <c r="E65" s="69"/>
      <c r="F65" s="69"/>
      <c r="G65" s="69"/>
      <c r="H65" s="87"/>
      <c r="I65" s="124"/>
      <c r="J65" s="124"/>
      <c r="K65" s="125"/>
      <c r="L65" s="128"/>
      <c r="M65" s="127" t="str">
        <f t="shared" si="6"/>
        <v>N/A</v>
      </c>
      <c r="N65" s="127"/>
      <c r="O65" s="127"/>
      <c r="P65" s="127" t="str">
        <f t="shared" si="7"/>
        <v>N/A</v>
      </c>
      <c r="Q65" s="127"/>
      <c r="R65" s="127"/>
      <c r="S65" s="127" t="str">
        <f t="shared" si="8"/>
        <v>N/A</v>
      </c>
      <c r="T65" s="127"/>
      <c r="U65" s="127"/>
      <c r="V65" s="127" t="str">
        <f t="shared" si="9"/>
        <v>N/A</v>
      </c>
      <c r="W65" s="127"/>
      <c r="X65" s="127"/>
      <c r="Y65" s="127" t="str">
        <f t="shared" si="10"/>
        <v>N/A</v>
      </c>
      <c r="Z65" s="127"/>
      <c r="AA65" s="127"/>
      <c r="AB65" s="127" t="str">
        <f t="shared" si="11"/>
        <v>N/A</v>
      </c>
      <c r="AC65" s="127"/>
      <c r="AD65" s="127"/>
      <c r="AE65" s="127" t="str">
        <f t="shared" si="12"/>
        <v>N/A</v>
      </c>
      <c r="AF65" s="127"/>
      <c r="AG65" s="127"/>
      <c r="AH65" s="63"/>
    </row>
    <row r="66" spans="1:34" s="94" customFormat="1" x14ac:dyDescent="0.25">
      <c r="A66" s="1"/>
      <c r="B66" s="129"/>
      <c r="C66" s="1"/>
      <c r="D66" s="1"/>
      <c r="E66" s="1"/>
      <c r="F66" s="1"/>
      <c r="G66" s="1"/>
      <c r="H66" s="1"/>
      <c r="I66" s="130"/>
      <c r="J66" s="130"/>
      <c r="K66" s="131"/>
      <c r="L66" s="132"/>
      <c r="M66" s="1"/>
      <c r="N66" s="133"/>
      <c r="O66" s="133"/>
      <c r="P66" s="1"/>
      <c r="Q66" s="133"/>
      <c r="R66" s="133"/>
      <c r="S66" s="1"/>
      <c r="T66" s="133"/>
      <c r="U66" s="133"/>
      <c r="V66" s="68"/>
      <c r="W66" s="134"/>
      <c r="X66" s="134"/>
      <c r="Y66" s="68"/>
      <c r="Z66" s="68"/>
      <c r="AA66" s="68"/>
      <c r="AB66" s="68"/>
      <c r="AC66" s="68"/>
      <c r="AD66" s="68"/>
      <c r="AE66" s="68"/>
      <c r="AF66" s="68"/>
      <c r="AG66" s="68"/>
      <c r="AH66" s="64"/>
    </row>
    <row r="67" spans="1:34" s="94" customFormat="1" x14ac:dyDescent="0.25">
      <c r="A67" s="1"/>
      <c r="B67" s="129"/>
      <c r="C67" s="1"/>
      <c r="D67" s="1"/>
      <c r="E67" s="1"/>
      <c r="F67" s="1"/>
      <c r="G67" s="1"/>
      <c r="H67" s="1"/>
      <c r="I67" s="130"/>
      <c r="J67" s="130"/>
      <c r="K67" s="131"/>
      <c r="L67" s="132"/>
      <c r="M67" s="1"/>
      <c r="N67" s="133"/>
      <c r="O67" s="133"/>
      <c r="P67" s="1"/>
      <c r="Q67" s="133"/>
      <c r="R67" s="133"/>
      <c r="S67" s="1"/>
      <c r="T67" s="133"/>
      <c r="U67" s="133"/>
      <c r="V67" s="68"/>
      <c r="W67" s="134"/>
      <c r="X67" s="134"/>
      <c r="Y67" s="68"/>
      <c r="Z67" s="68"/>
      <c r="AA67" s="68"/>
      <c r="AB67" s="68"/>
      <c r="AC67" s="68"/>
      <c r="AD67" s="68"/>
      <c r="AE67" s="68"/>
      <c r="AF67" s="68"/>
      <c r="AG67" s="68"/>
      <c r="AH67" s="64"/>
    </row>
    <row r="68" spans="1:34" s="94" customFormat="1" x14ac:dyDescent="0.25">
      <c r="A68" s="1"/>
      <c r="B68" s="129"/>
      <c r="C68" s="1"/>
      <c r="D68" s="1"/>
      <c r="E68" s="1"/>
      <c r="F68" s="1"/>
      <c r="G68" s="1"/>
      <c r="H68" s="1"/>
      <c r="I68" s="130"/>
      <c r="J68" s="130"/>
      <c r="K68" s="131"/>
      <c r="L68" s="132"/>
      <c r="M68" s="1"/>
      <c r="N68" s="133"/>
      <c r="O68" s="133"/>
      <c r="P68" s="1"/>
      <c r="Q68" s="133"/>
      <c r="R68" s="133"/>
      <c r="S68" s="1"/>
      <c r="T68" s="133"/>
      <c r="U68" s="133"/>
      <c r="V68" s="68"/>
      <c r="W68" s="134"/>
      <c r="X68" s="134"/>
      <c r="Y68" s="68"/>
      <c r="Z68" s="68"/>
      <c r="AA68" s="68"/>
      <c r="AB68" s="68"/>
      <c r="AC68" s="68"/>
      <c r="AD68" s="68"/>
      <c r="AE68" s="68"/>
      <c r="AF68" s="68"/>
      <c r="AG68" s="68"/>
      <c r="AH68" s="64"/>
    </row>
    <row r="69" spans="1:34" s="94" customFormat="1" x14ac:dyDescent="0.25">
      <c r="A69" s="1"/>
      <c r="B69" s="129"/>
      <c r="C69" s="1"/>
      <c r="D69" s="1"/>
      <c r="E69" s="1"/>
      <c r="F69" s="1"/>
      <c r="G69" s="1"/>
      <c r="H69" s="1"/>
      <c r="I69" s="130"/>
      <c r="J69" s="130"/>
      <c r="K69" s="131"/>
      <c r="L69" s="132"/>
      <c r="M69" s="1"/>
      <c r="N69" s="133"/>
      <c r="O69" s="133"/>
      <c r="P69" s="1"/>
      <c r="Q69" s="133"/>
      <c r="R69" s="133"/>
      <c r="S69" s="1"/>
      <c r="T69" s="133"/>
      <c r="U69" s="133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4"/>
    </row>
    <row r="70" spans="1:34" ht="99" x14ac:dyDescent="0.25">
      <c r="A70" s="65" t="s">
        <v>87</v>
      </c>
      <c r="B70" s="66" t="s">
        <v>77</v>
      </c>
      <c r="C70" s="67" t="s">
        <v>76</v>
      </c>
    </row>
    <row r="71" spans="1:34" ht="66" x14ac:dyDescent="0.25">
      <c r="A71" s="69" t="s">
        <v>85</v>
      </c>
      <c r="B71" s="66" t="s">
        <v>80</v>
      </c>
      <c r="C71" s="70" t="s">
        <v>140</v>
      </c>
    </row>
    <row r="72" spans="1:34" ht="66" x14ac:dyDescent="0.25">
      <c r="A72" s="69" t="s">
        <v>50</v>
      </c>
      <c r="B72" s="66" t="s">
        <v>81</v>
      </c>
      <c r="C72" s="70" t="s">
        <v>141</v>
      </c>
    </row>
    <row r="73" spans="1:34" ht="66" x14ac:dyDescent="0.25">
      <c r="A73" s="69" t="s">
        <v>51</v>
      </c>
      <c r="B73" s="66" t="s">
        <v>82</v>
      </c>
      <c r="C73" s="70" t="s">
        <v>142</v>
      </c>
    </row>
    <row r="74" spans="1:34" ht="66" x14ac:dyDescent="0.25">
      <c r="A74" s="69" t="s">
        <v>52</v>
      </c>
      <c r="B74" s="66" t="s">
        <v>83</v>
      </c>
      <c r="C74" s="70" t="s">
        <v>143</v>
      </c>
    </row>
    <row r="75" spans="1:34" ht="66" x14ac:dyDescent="0.25">
      <c r="A75" s="69" t="s">
        <v>86</v>
      </c>
      <c r="B75" s="66" t="s">
        <v>84</v>
      </c>
      <c r="C75" s="70" t="s">
        <v>144</v>
      </c>
    </row>
  </sheetData>
  <mergeCells count="9">
    <mergeCell ref="A27:L29"/>
    <mergeCell ref="M27:AH27"/>
    <mergeCell ref="Y28:AA28"/>
    <mergeCell ref="AB28:AD28"/>
    <mergeCell ref="AE28:AG28"/>
    <mergeCell ref="M28:O28"/>
    <mergeCell ref="P28:R28"/>
    <mergeCell ref="S28:U28"/>
    <mergeCell ref="V28:X28"/>
  </mergeCells>
  <phoneticPr fontId="2" type="noConversion"/>
  <conditionalFormatting sqref="N41:O65 Q41:R65 T41:U65 W41:X65 AC41:AD65 AF41:AG65">
    <cfRule type="expression" dxfId="3" priority="12">
      <formula>N41&gt;M41</formula>
    </cfRule>
  </conditionalFormatting>
  <conditionalFormatting sqref="Z41:AA65">
    <cfRule type="expression" dxfId="2" priority="2">
      <formula>AND($Z41&lt;&gt;"免風評",$Z41&gt;=$Y41)</formula>
    </cfRule>
  </conditionalFormatting>
  <conditionalFormatting sqref="AE41:AE65">
    <cfRule type="expression" dxfId="1" priority="13">
      <formula>AND(ISNUMBER(AH41),ISNUMBER(AE41),AH41-2&lt;=AE41)</formula>
    </cfRule>
    <cfRule type="expression" dxfId="0" priority="14">
      <formula>AND(ISNUMBER(AH41),ISNUMBER(AE41),AH41-2&gt;AE41)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0FF4-12B7-404F-9792-4FD3ED635CBC}">
  <dimension ref="A1:K20"/>
  <sheetViews>
    <sheetView topLeftCell="A8" workbookViewId="0">
      <selection activeCell="C6" sqref="C6:J6"/>
    </sheetView>
  </sheetViews>
  <sheetFormatPr defaultColWidth="8.75" defaultRowHeight="16.5" x14ac:dyDescent="0.25"/>
  <cols>
    <col min="1" max="1" width="21.375" style="1" customWidth="1"/>
    <col min="2" max="3" width="21.625" style="1" customWidth="1"/>
    <col min="4" max="4" width="46.25" style="1" customWidth="1"/>
    <col min="5" max="10" width="21.375" style="1" customWidth="1"/>
    <col min="11" max="16384" width="8.75" style="1"/>
  </cols>
  <sheetData>
    <row r="1" spans="1:11" ht="36.75" thickBot="1" x14ac:dyDescent="0.3">
      <c r="A1" s="2" t="s">
        <v>88</v>
      </c>
      <c r="B1" s="3"/>
      <c r="C1" s="4"/>
      <c r="D1" s="5"/>
      <c r="E1" s="5"/>
      <c r="F1" s="6"/>
      <c r="G1" s="4"/>
      <c r="H1" s="5"/>
      <c r="I1" s="5"/>
      <c r="J1" s="5"/>
    </row>
    <row r="2" spans="1:11" s="13" customFormat="1" ht="30.75" x14ac:dyDescent="0.25">
      <c r="A2" s="7" t="s">
        <v>128</v>
      </c>
      <c r="B2" s="8">
        <v>0</v>
      </c>
      <c r="C2" s="9">
        <v>1</v>
      </c>
      <c r="D2" s="9">
        <v>2</v>
      </c>
      <c r="E2" s="10">
        <v>3</v>
      </c>
      <c r="F2" s="11">
        <v>4</v>
      </c>
      <c r="G2" s="8">
        <v>5</v>
      </c>
      <c r="H2" s="11">
        <v>6</v>
      </c>
      <c r="I2" s="8">
        <v>7</v>
      </c>
      <c r="J2" s="11">
        <v>8</v>
      </c>
      <c r="K2" s="12"/>
    </row>
    <row r="3" spans="1:11" s="13" customFormat="1" ht="20.25" x14ac:dyDescent="0.25">
      <c r="A3" s="42" t="s">
        <v>89</v>
      </c>
      <c r="B3" s="43" t="s">
        <v>90</v>
      </c>
      <c r="C3" s="44" t="s">
        <v>91</v>
      </c>
      <c r="D3" s="45" t="s">
        <v>92</v>
      </c>
      <c r="E3" s="46" t="s">
        <v>80</v>
      </c>
      <c r="F3" s="47" t="s">
        <v>93</v>
      </c>
      <c r="G3" s="43" t="s">
        <v>94</v>
      </c>
      <c r="H3" s="47" t="s">
        <v>95</v>
      </c>
      <c r="I3" s="48" t="s">
        <v>96</v>
      </c>
      <c r="J3" s="49" t="s">
        <v>97</v>
      </c>
      <c r="K3" s="18"/>
    </row>
    <row r="4" spans="1:11" s="13" customFormat="1" ht="198" x14ac:dyDescent="0.25">
      <c r="A4" s="19" t="s">
        <v>98</v>
      </c>
      <c r="B4" s="20"/>
      <c r="C4" s="21" t="s">
        <v>99</v>
      </c>
      <c r="D4" s="20" t="s">
        <v>100</v>
      </c>
      <c r="E4" s="21" t="s">
        <v>101</v>
      </c>
      <c r="F4" s="21" t="s">
        <v>124</v>
      </c>
      <c r="G4" s="21" t="s">
        <v>102</v>
      </c>
      <c r="H4" s="21"/>
      <c r="I4" s="22"/>
      <c r="J4" s="23"/>
      <c r="K4" s="12"/>
    </row>
    <row r="5" spans="1:11" s="13" customFormat="1" ht="20.25" hidden="1" x14ac:dyDescent="0.25">
      <c r="A5" s="14" t="s">
        <v>103</v>
      </c>
      <c r="B5" s="15"/>
      <c r="C5" s="16">
        <v>1</v>
      </c>
      <c r="D5" s="15">
        <v>1</v>
      </c>
      <c r="E5" s="16">
        <v>7</v>
      </c>
      <c r="F5" s="17">
        <v>1</v>
      </c>
      <c r="G5" s="15">
        <v>2</v>
      </c>
      <c r="H5" s="17"/>
      <c r="I5" s="17">
        <v>1</v>
      </c>
      <c r="J5" s="24"/>
      <c r="K5" s="18"/>
    </row>
    <row r="6" spans="1:11" s="13" customFormat="1" ht="20.25" x14ac:dyDescent="0.25">
      <c r="A6" s="37" t="s">
        <v>104</v>
      </c>
      <c r="B6" s="38"/>
      <c r="C6" s="39" t="s">
        <v>48</v>
      </c>
      <c r="D6" s="38" t="s">
        <v>49</v>
      </c>
      <c r="E6" s="39" t="s">
        <v>50</v>
      </c>
      <c r="F6" s="40" t="s">
        <v>51</v>
      </c>
      <c r="G6" s="38" t="s">
        <v>52</v>
      </c>
      <c r="H6" s="38" t="s">
        <v>5</v>
      </c>
      <c r="I6" s="40" t="s">
        <v>3</v>
      </c>
      <c r="J6" s="41" t="s">
        <v>105</v>
      </c>
      <c r="K6" s="12"/>
    </row>
    <row r="7" spans="1:11" s="13" customFormat="1" ht="20.25" x14ac:dyDescent="0.25">
      <c r="A7" s="25" t="s">
        <v>108</v>
      </c>
      <c r="B7" s="26" t="s">
        <v>106</v>
      </c>
      <c r="C7" s="27" t="s">
        <v>110</v>
      </c>
      <c r="D7" s="26" t="s">
        <v>110</v>
      </c>
      <c r="E7" s="27" t="s">
        <v>107</v>
      </c>
      <c r="F7" s="28" t="s">
        <v>112</v>
      </c>
      <c r="G7" s="26" t="s">
        <v>111</v>
      </c>
      <c r="H7" s="28" t="s">
        <v>110</v>
      </c>
      <c r="I7" s="28" t="s">
        <v>111</v>
      </c>
      <c r="J7" s="29" t="s">
        <v>106</v>
      </c>
      <c r="K7" s="18"/>
    </row>
    <row r="8" spans="1:11" s="13" customFormat="1" ht="83.25" thickBot="1" x14ac:dyDescent="0.3">
      <c r="A8" s="30" t="s">
        <v>109</v>
      </c>
      <c r="B8" s="31"/>
      <c r="C8" s="32" t="s">
        <v>106</v>
      </c>
      <c r="D8" s="33" t="s">
        <v>115</v>
      </c>
      <c r="E8" s="32" t="s">
        <v>107</v>
      </c>
      <c r="F8" s="34" t="s">
        <v>113</v>
      </c>
      <c r="G8" s="35" t="s">
        <v>114</v>
      </c>
      <c r="H8" s="34" t="s">
        <v>112</v>
      </c>
      <c r="I8" s="34" t="s">
        <v>114</v>
      </c>
      <c r="J8" s="36" t="s">
        <v>107</v>
      </c>
      <c r="K8" s="18"/>
    </row>
    <row r="11" spans="1:11" x14ac:dyDescent="0.25">
      <c r="A11" s="50" t="s">
        <v>116</v>
      </c>
    </row>
    <row r="12" spans="1:11" x14ac:dyDescent="0.25">
      <c r="A12" s="51" t="s">
        <v>117</v>
      </c>
    </row>
    <row r="13" spans="1:11" x14ac:dyDescent="0.25">
      <c r="A13" s="51" t="s">
        <v>118</v>
      </c>
    </row>
    <row r="14" spans="1:11" x14ac:dyDescent="0.25">
      <c r="A14" s="51" t="s">
        <v>129</v>
      </c>
    </row>
    <row r="15" spans="1:11" x14ac:dyDescent="0.25">
      <c r="A15" s="55" t="s">
        <v>126</v>
      </c>
    </row>
    <row r="16" spans="1:11" x14ac:dyDescent="0.25">
      <c r="A16" s="52" t="s">
        <v>119</v>
      </c>
    </row>
    <row r="17" spans="1:1" x14ac:dyDescent="0.25">
      <c r="A17" s="53" t="s">
        <v>120</v>
      </c>
    </row>
    <row r="18" spans="1:1" x14ac:dyDescent="0.25">
      <c r="A18" s="53" t="s">
        <v>121</v>
      </c>
    </row>
    <row r="19" spans="1:1" x14ac:dyDescent="0.25">
      <c r="A19" s="53" t="s">
        <v>122</v>
      </c>
    </row>
    <row r="20" spans="1:1" x14ac:dyDescent="0.25">
      <c r="A20" s="54" t="s">
        <v>123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1932-469B-4C38-B24C-F6C0CF261A6A}">
  <dimension ref="A1:K20"/>
  <sheetViews>
    <sheetView topLeftCell="A8" workbookViewId="0">
      <selection activeCell="H14" sqref="H14"/>
    </sheetView>
  </sheetViews>
  <sheetFormatPr defaultColWidth="8.75" defaultRowHeight="16.5" x14ac:dyDescent="0.25"/>
  <cols>
    <col min="1" max="1" width="21.375" style="1" customWidth="1"/>
    <col min="2" max="3" width="21.625" style="1" customWidth="1"/>
    <col min="4" max="4" width="46.25" style="1" customWidth="1"/>
    <col min="5" max="10" width="21.375" style="1" customWidth="1"/>
    <col min="11" max="16384" width="8.75" style="1"/>
  </cols>
  <sheetData>
    <row r="1" spans="1:11" ht="36.75" thickBot="1" x14ac:dyDescent="0.3">
      <c r="A1" s="2" t="s">
        <v>125</v>
      </c>
      <c r="B1" s="3"/>
      <c r="C1" s="4"/>
      <c r="D1" s="5"/>
      <c r="E1" s="5"/>
      <c r="F1" s="6"/>
      <c r="G1" s="4"/>
      <c r="H1" s="5"/>
      <c r="I1" s="5"/>
      <c r="J1" s="5"/>
    </row>
    <row r="2" spans="1:11" s="13" customFormat="1" ht="30.75" x14ac:dyDescent="0.25">
      <c r="A2" s="7" t="s">
        <v>128</v>
      </c>
      <c r="B2" s="8">
        <v>0</v>
      </c>
      <c r="C2" s="9">
        <v>1</v>
      </c>
      <c r="D2" s="9">
        <v>2</v>
      </c>
      <c r="E2" s="10">
        <v>3</v>
      </c>
      <c r="F2" s="11">
        <v>4</v>
      </c>
      <c r="G2" s="8">
        <v>5</v>
      </c>
      <c r="H2" s="11">
        <v>6</v>
      </c>
      <c r="I2" s="8">
        <v>7</v>
      </c>
      <c r="J2" s="11">
        <v>8</v>
      </c>
      <c r="K2" s="12"/>
    </row>
    <row r="3" spans="1:11" s="13" customFormat="1" ht="20.25" x14ac:dyDescent="0.25">
      <c r="A3" s="42" t="s">
        <v>89</v>
      </c>
      <c r="B3" s="43" t="s">
        <v>90</v>
      </c>
      <c r="C3" s="44" t="s">
        <v>91</v>
      </c>
      <c r="D3" s="45" t="s">
        <v>92</v>
      </c>
      <c r="E3" s="46" t="s">
        <v>80</v>
      </c>
      <c r="F3" s="47" t="s">
        <v>93</v>
      </c>
      <c r="G3" s="43" t="s">
        <v>94</v>
      </c>
      <c r="H3" s="47" t="s">
        <v>95</v>
      </c>
      <c r="I3" s="48" t="s">
        <v>96</v>
      </c>
      <c r="J3" s="49" t="s">
        <v>97</v>
      </c>
      <c r="K3" s="18"/>
    </row>
    <row r="4" spans="1:11" s="13" customFormat="1" ht="198" x14ac:dyDescent="0.25">
      <c r="A4" s="19" t="s">
        <v>98</v>
      </c>
      <c r="B4" s="20"/>
      <c r="C4" s="21" t="s">
        <v>99</v>
      </c>
      <c r="D4" s="20" t="s">
        <v>100</v>
      </c>
      <c r="E4" s="21" t="s">
        <v>101</v>
      </c>
      <c r="F4" s="21" t="s">
        <v>124</v>
      </c>
      <c r="G4" s="21" t="s">
        <v>102</v>
      </c>
      <c r="H4" s="21"/>
      <c r="I4" s="22"/>
      <c r="J4" s="23"/>
      <c r="K4" s="12"/>
    </row>
    <row r="5" spans="1:11" s="13" customFormat="1" ht="20.25" hidden="1" x14ac:dyDescent="0.25">
      <c r="A5" s="14" t="s">
        <v>103</v>
      </c>
      <c r="B5" s="15"/>
      <c r="C5" s="16">
        <v>1</v>
      </c>
      <c r="D5" s="15">
        <v>1</v>
      </c>
      <c r="E5" s="16">
        <v>7</v>
      </c>
      <c r="F5" s="17">
        <v>1</v>
      </c>
      <c r="G5" s="15">
        <v>2</v>
      </c>
      <c r="H5" s="17"/>
      <c r="I5" s="17">
        <v>1</v>
      </c>
      <c r="J5" s="24"/>
      <c r="K5" s="18"/>
    </row>
    <row r="6" spans="1:11" s="13" customFormat="1" ht="20.25" x14ac:dyDescent="0.25">
      <c r="A6" s="37" t="s">
        <v>104</v>
      </c>
      <c r="B6" s="38"/>
      <c r="C6" s="39" t="s">
        <v>48</v>
      </c>
      <c r="D6" s="38" t="s">
        <v>49</v>
      </c>
      <c r="E6" s="39" t="s">
        <v>50</v>
      </c>
      <c r="F6" s="40" t="s">
        <v>51</v>
      </c>
      <c r="G6" s="38" t="s">
        <v>52</v>
      </c>
      <c r="H6" s="38" t="s">
        <v>5</v>
      </c>
      <c r="I6" s="40" t="s">
        <v>3</v>
      </c>
      <c r="J6" s="41" t="s">
        <v>105</v>
      </c>
      <c r="K6" s="12"/>
    </row>
    <row r="7" spans="1:11" s="13" customFormat="1" ht="20.25" x14ac:dyDescent="0.25">
      <c r="A7" s="25" t="s">
        <v>108</v>
      </c>
      <c r="B7" s="26" t="s">
        <v>106</v>
      </c>
      <c r="C7" s="27" t="s">
        <v>110</v>
      </c>
      <c r="D7" s="26" t="s">
        <v>110</v>
      </c>
      <c r="E7" s="27" t="s">
        <v>107</v>
      </c>
      <c r="F7" s="28" t="s">
        <v>112</v>
      </c>
      <c r="G7" s="26" t="s">
        <v>111</v>
      </c>
      <c r="H7" s="28" t="s">
        <v>110</v>
      </c>
      <c r="I7" s="28" t="s">
        <v>111</v>
      </c>
      <c r="J7" s="29" t="s">
        <v>106</v>
      </c>
      <c r="K7" s="18"/>
    </row>
    <row r="8" spans="1:11" s="13" customFormat="1" ht="83.25" thickBot="1" x14ac:dyDescent="0.3">
      <c r="A8" s="30" t="s">
        <v>109</v>
      </c>
      <c r="B8" s="31"/>
      <c r="C8" s="32" t="s">
        <v>106</v>
      </c>
      <c r="D8" s="33" t="s">
        <v>115</v>
      </c>
      <c r="E8" s="32" t="s">
        <v>107</v>
      </c>
      <c r="F8" s="34" t="s">
        <v>113</v>
      </c>
      <c r="G8" s="35" t="s">
        <v>114</v>
      </c>
      <c r="H8" s="34" t="s">
        <v>112</v>
      </c>
      <c r="I8" s="34" t="s">
        <v>114</v>
      </c>
      <c r="J8" s="36" t="s">
        <v>107</v>
      </c>
      <c r="K8" s="18"/>
    </row>
    <row r="11" spans="1:11" x14ac:dyDescent="0.25">
      <c r="A11" s="50" t="s">
        <v>116</v>
      </c>
    </row>
    <row r="12" spans="1:11" x14ac:dyDescent="0.25">
      <c r="A12" s="51" t="s">
        <v>117</v>
      </c>
    </row>
    <row r="13" spans="1:11" x14ac:dyDescent="0.25">
      <c r="A13" s="51" t="s">
        <v>118</v>
      </c>
    </row>
    <row r="14" spans="1:11" x14ac:dyDescent="0.25">
      <c r="A14" s="51" t="s">
        <v>130</v>
      </c>
    </row>
    <row r="15" spans="1:11" x14ac:dyDescent="0.25">
      <c r="A15" s="55" t="s">
        <v>127</v>
      </c>
    </row>
    <row r="16" spans="1:11" x14ac:dyDescent="0.25">
      <c r="A16" s="52" t="s">
        <v>119</v>
      </c>
    </row>
    <row r="17" spans="1:1" x14ac:dyDescent="0.25">
      <c r="A17" s="53" t="s">
        <v>120</v>
      </c>
    </row>
    <row r="18" spans="1:1" x14ac:dyDescent="0.25">
      <c r="A18" s="53" t="s">
        <v>121</v>
      </c>
    </row>
    <row r="19" spans="1:1" x14ac:dyDescent="0.25">
      <c r="A19" s="53" t="s">
        <v>122</v>
      </c>
    </row>
    <row r="20" spans="1:1" x14ac:dyDescent="0.25">
      <c r="A20" s="54" t="s">
        <v>123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標案案件追蹤 (2)</vt:lpstr>
      <vt:lpstr>標案案件追蹤</vt:lpstr>
      <vt:lpstr>政府標案流程說明</vt:lpstr>
      <vt:lpstr>一般企業流程說明</vt:lpstr>
    </vt:vector>
  </TitlesOfParts>
  <Company>Taiwan Mobile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Wu ( 吳明哲 )</dc:creator>
  <cp:lastModifiedBy>Alan Ding ( 丁平顥 )</cp:lastModifiedBy>
  <dcterms:created xsi:type="dcterms:W3CDTF">2026-04-22T03:53:45Z</dcterms:created>
  <dcterms:modified xsi:type="dcterms:W3CDTF">2026-08-06T14:16:14Z</dcterms:modified>
</cp:coreProperties>
</file>